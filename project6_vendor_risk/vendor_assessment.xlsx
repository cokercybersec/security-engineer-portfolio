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bric" sheetId="1" state="visible" r:id="rId3"/>
    <sheet name="Questionnaire" sheetId="2" state="visible" r:id="rId4"/>
    <sheet name="Assessment" sheetId="3" state="visible" r:id="rId5"/>
    <sheet name="By function" sheetId="4" state="visible" r:id="rId6"/>
    <sheet name="Contract claus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<sst xmlns="http://schemas.openxmlformats.org/spreadsheetml/2006/main" count="518" uniqueCount="246">
  <si>
    <t xml:space="preserve">Scoring rubric for the vendor security questionnaire</t>
  </si>
  <si>
    <t xml:space="preserve">Risk score for each answer</t>
  </si>
  <si>
    <t xml:space="preserve">Score</t>
  </si>
  <si>
    <t xml:space="preserve">Meaning</t>
  </si>
  <si>
    <t xml:space="preserve">In place, and the vendor gave evidence (report, policy, screenshot)</t>
  </si>
  <si>
    <t xml:space="preserve">In place according to the vendor, but no evidence yet</t>
  </si>
  <si>
    <t xml:space="preserve">Partly in place, or in place but weaker than our requirement</t>
  </si>
  <si>
    <t xml:space="preserve">Not in place, or no answer</t>
  </si>
  <si>
    <t xml:space="preserve">Weights</t>
  </si>
  <si>
    <t xml:space="preserve">Critical for protecting our data</t>
  </si>
  <si>
    <t xml:space="preserve">Important</t>
  </si>
  <si>
    <t xml:space="preserve">Good practice</t>
  </si>
  <si>
    <t xml:space="preserve">Rating bands (weighted risk share = weighted points divided by the maximum possible points)</t>
  </si>
  <si>
    <t xml:space="preserve">Band</t>
  </si>
  <si>
    <t xml:space="preserve">Highest risk share in band</t>
  </si>
  <si>
    <t xml:space="preserve">Low</t>
  </si>
  <si>
    <t xml:space="preserve">Medium</t>
  </si>
  <si>
    <t xml:space="preserve">High</t>
  </si>
  <si>
    <t xml:space="preserve">Gating questions</t>
  </si>
  <si>
    <t xml:space="preserve">Four questions are gating: Q10 (MFA for administrators), Q13 (encryption at rest), Q14 (encryption in transit) and Q25 (incident notice within 72 hours). If any gating question scores 3, the vendor is rated High no matter what the weighted share says, until the gap is closed in the contract or by remediation.</t>
  </si>
  <si>
    <t xml:space="preserve">Notes and assumptions</t>
  </si>
  <si>
    <t xml:space="preserve">1. The vendor in the Assessment sheet is fictional. Every answer was invented by me for this exercise. It is not based on any real company.</t>
  </si>
  <si>
    <t xml:space="preserve">2. Weights, bands and gating questions are my own choices for a mid sized company buying a cloud analytics service that holds internal business data.</t>
  </si>
  <si>
    <t xml:space="preserve">3. Control mappings are my study mappings to NIST CSF 2.0 and SP 800-53 Rev. 5, not an official crosswalk.</t>
  </si>
  <si>
    <t xml:space="preserve">4. A real assessment would also look at the evidence itself, not only the answers, and would weigh the sensitivity of the data the vendor will hold.</t>
  </si>
  <si>
    <t xml:space="preserve">5. Blue cells are inputs. Change a score, weight or band limit and every total recalculates.</t>
  </si>
  <si>
    <t xml:space="preserve">Vendor security questionnaire (30 questions across the six NIST CSF 2.0 functions)</t>
  </si>
  <si>
    <t xml:space="preserve">Send this sheet to a vendor. They fill in the answer and evidence columns. Score the answers on the Assessment sheet using the Rubric. The Assessment sheet is a worked example with a fictional vendor.</t>
  </si>
  <si>
    <t xml:space="preserve">ID</t>
  </si>
  <si>
    <t xml:space="preserve">CSF 2.0 function</t>
  </si>
  <si>
    <t xml:space="preserve">CSF 2.0 category</t>
  </si>
  <si>
    <t xml:space="preserve">Question</t>
  </si>
  <si>
    <t xml:space="preserve">Weight</t>
  </si>
  <si>
    <t xml:space="preserve">Gating</t>
  </si>
  <si>
    <t xml:space="preserve">NIST 800-53</t>
  </si>
  <si>
    <t xml:space="preserve">Vendor answer</t>
  </si>
  <si>
    <t xml:space="preserve">Evidence provided</t>
  </si>
  <si>
    <t xml:space="preserve">Q01</t>
  </si>
  <si>
    <t xml:space="preserve">GOVERN</t>
  </si>
  <si>
    <t xml:space="preserve">GV.PO Policy</t>
  </si>
  <si>
    <t xml:space="preserve">Do you maintain a written information security policy that management approves and reviews at least once a year?</t>
  </si>
  <si>
    <t xml:space="preserve">No</t>
  </si>
  <si>
    <t xml:space="preserve">PL-1</t>
  </si>
  <si>
    <t xml:space="preserve">Q02</t>
  </si>
  <si>
    <t xml:space="preserve">GV.RR Roles and Responsibilities</t>
  </si>
  <si>
    <t xml:space="preserve">Is one named person accountable for security, with a direct line to executive leadership?</t>
  </si>
  <si>
    <t xml:space="preserve">PM-2</t>
  </si>
  <si>
    <t xml:space="preserve">Q03</t>
  </si>
  <si>
    <t xml:space="preserve">GV.SC Supply Chain Risk Management</t>
  </si>
  <si>
    <t xml:space="preserve">Do you assess the security of your own critical suppliers and subprocessors, and give customers a current list of them?</t>
  </si>
  <si>
    <t xml:space="preserve">SR-6</t>
  </si>
  <si>
    <t xml:space="preserve">Q04</t>
  </si>
  <si>
    <t xml:space="preserve">GV.OV Oversight</t>
  </si>
  <si>
    <t xml:space="preserve">Do you hold an independent assurance report for this service (SOC 2 Type II or ISO 27001) issued in the last 12 months?</t>
  </si>
  <si>
    <t xml:space="preserve">CA-2</t>
  </si>
  <si>
    <t xml:space="preserve">Q05</t>
  </si>
  <si>
    <t xml:space="preserve">GV.RM Risk Management Strategy</t>
  </si>
  <si>
    <t xml:space="preserve">Do you run a formal risk assessment at least once a year and track the risks until they are closed?</t>
  </si>
  <si>
    <t xml:space="preserve">RA-3</t>
  </si>
  <si>
    <t xml:space="preserve">Q06</t>
  </si>
  <si>
    <t xml:space="preserve">IDENTIFY</t>
  </si>
  <si>
    <t xml:space="preserve">ID.AM Asset Management</t>
  </si>
  <si>
    <t xml:space="preserve">Do you keep an inventory of the systems and data stores that hold customer data?</t>
  </si>
  <si>
    <t xml:space="preserve">CM-8</t>
  </si>
  <si>
    <t xml:space="preserve">Q07</t>
  </si>
  <si>
    <t xml:space="preserve">Will you store and process our data only in the regions we agree on, and tell us where it is?</t>
  </si>
  <si>
    <t xml:space="preserve">SA-9</t>
  </si>
  <si>
    <t xml:space="preserve">Q08</t>
  </si>
  <si>
    <t xml:space="preserve">ID.RA Risk Assessment</t>
  </si>
  <si>
    <t xml:space="preserve">Do you scan for vulnerabilities at least monthly and fix critical findings within a set time?</t>
  </si>
  <si>
    <t xml:space="preserve">RA-5</t>
  </si>
  <si>
    <t xml:space="preserve">Q09</t>
  </si>
  <si>
    <t xml:space="preserve">ID.IM Improvement</t>
  </si>
  <si>
    <t xml:space="preserve">Do you run an independent penetration test at least once a year and share a summary with customers?</t>
  </si>
  <si>
    <t xml:space="preserve">CA-8</t>
  </si>
  <si>
    <t xml:space="preserve">Q10</t>
  </si>
  <si>
    <t xml:space="preserve">PROTECT</t>
  </si>
  <si>
    <t xml:space="preserve">PR.AA Identity Management, Authentication and Access Control</t>
  </si>
  <si>
    <t xml:space="preserve">Is multi factor authentication required for all administrator and privileged access to production?</t>
  </si>
  <si>
    <t xml:space="preserve">Yes</t>
  </si>
  <si>
    <t xml:space="preserve">IA-2(1)</t>
  </si>
  <si>
    <t xml:space="preserve">Q11</t>
  </si>
  <si>
    <t xml:space="preserve">Does the service support multi factor authentication and single sign on for our users?</t>
  </si>
  <si>
    <t xml:space="preserve">IA-2</t>
  </si>
  <si>
    <t xml:space="preserve">Q12</t>
  </si>
  <si>
    <t xml:space="preserve">Is staff access to customer data limited by role, reviewed at least quarterly, and removed within 24 hours when someone leaves?</t>
  </si>
  <si>
    <t xml:space="preserve">AC-2</t>
  </si>
  <si>
    <t xml:space="preserve">Q13</t>
  </si>
  <si>
    <t xml:space="preserve">PR.DS Data Security</t>
  </si>
  <si>
    <t xml:space="preserve">Is customer data encrypted at rest with strong, managed keys?</t>
  </si>
  <si>
    <t xml:space="preserve">SC-28</t>
  </si>
  <si>
    <t xml:space="preserve">Q14</t>
  </si>
  <si>
    <t xml:space="preserve">Is customer data encrypted in transit using TLS 1.2 or higher?</t>
  </si>
  <si>
    <t xml:space="preserve">SC-8</t>
  </si>
  <si>
    <t xml:space="preserve">Q15</t>
  </si>
  <si>
    <t xml:space="preserve">Is each customer's data logically separated from other customers?</t>
  </si>
  <si>
    <t xml:space="preserve">SC-4</t>
  </si>
  <si>
    <t xml:space="preserve">Q16</t>
  </si>
  <si>
    <t xml:space="preserve">PR.PS Platform Security</t>
  </si>
  <si>
    <t xml:space="preserve">Are systems built from hardened baselines and patched on a defined schedule?</t>
  </si>
  <si>
    <t xml:space="preserve">CM-6</t>
  </si>
  <si>
    <t xml:space="preserve">Q17</t>
  </si>
  <si>
    <t xml:space="preserve">PR.AT Awareness and Training</t>
  </si>
  <si>
    <t xml:space="preserve">Do all staff complete security awareness training when hired and every year?</t>
  </si>
  <si>
    <t xml:space="preserve">AT-2</t>
  </si>
  <si>
    <t xml:space="preserve">Q18</t>
  </si>
  <si>
    <t xml:space="preserve">Do you back up customer data and protect the backups with encryption and access control?</t>
  </si>
  <si>
    <t xml:space="preserve">CP-9</t>
  </si>
  <si>
    <t xml:space="preserve">Q19</t>
  </si>
  <si>
    <t xml:space="preserve">PR.IR Technology Infrastructure Resilience</t>
  </si>
  <si>
    <t xml:space="preserve">Are production and development environments separated, with no real customer data used in development?</t>
  </si>
  <si>
    <t xml:space="preserve">SA-3</t>
  </si>
  <si>
    <t xml:space="preserve">Q20</t>
  </si>
  <si>
    <t xml:space="preserve">Will you return our data in a usable format and certify its deletion within 30 days after the contract ends?</t>
  </si>
  <si>
    <t xml:space="preserve">MP-6</t>
  </si>
  <si>
    <t xml:space="preserve">Q21</t>
  </si>
  <si>
    <t xml:space="preserve">DETECT</t>
  </si>
  <si>
    <t xml:space="preserve">DE.CM Continuous Monitoring</t>
  </si>
  <si>
    <t xml:space="preserve">Do you log sign ins, administrator actions and data access, and keep the logs for at least 90 days?</t>
  </si>
  <si>
    <t xml:space="preserve">AU-11</t>
  </si>
  <si>
    <t xml:space="preserve">Q22</t>
  </si>
  <si>
    <t xml:space="preserve">Is the environment monitored for unauthorized access or unusual activity around the clock?</t>
  </si>
  <si>
    <t xml:space="preserve">SI-4</t>
  </si>
  <si>
    <t xml:space="preserve">Q23</t>
  </si>
  <si>
    <t xml:space="preserve">DE.AE Adverse Event Analysis</t>
  </si>
  <si>
    <t xml:space="preserve">Are alerts triaged and investigated against a documented procedure?</t>
  </si>
  <si>
    <t xml:space="preserve">AU-6</t>
  </si>
  <si>
    <t xml:space="preserve">Q24</t>
  </si>
  <si>
    <t xml:space="preserve">RESPOND</t>
  </si>
  <si>
    <t xml:space="preserve">RS.MA Incident Management</t>
  </si>
  <si>
    <t xml:space="preserve">Do you have a written incident response plan that you test at least once a year?</t>
  </si>
  <si>
    <t xml:space="preserve">IR-8</t>
  </si>
  <si>
    <t xml:space="preserve">Q25</t>
  </si>
  <si>
    <t xml:space="preserve">RS.CO Incident Response Reporting and Communication</t>
  </si>
  <si>
    <t xml:space="preserve">Will you tell us within 72 hours of confirming an incident that affects our data?</t>
  </si>
  <si>
    <t xml:space="preserve">IR-6</t>
  </si>
  <si>
    <t xml:space="preserve">Q26</t>
  </si>
  <si>
    <t xml:space="preserve">Do you have a security contact who is reachable around the clock for incidents?</t>
  </si>
  <si>
    <t xml:space="preserve">Q27</t>
  </si>
  <si>
    <t xml:space="preserve">RS.AN Incident Analysis</t>
  </si>
  <si>
    <t xml:space="preserve">Do you do a root cause analysis after incidents that affect customers and share a written summary?</t>
  </si>
  <si>
    <t xml:space="preserve">IR-4</t>
  </si>
  <si>
    <t xml:space="preserve">Q28</t>
  </si>
  <si>
    <t xml:space="preserve">RECOVER</t>
  </si>
  <si>
    <t xml:space="preserve">RC.RP Incident Recovery Plan Execution</t>
  </si>
  <si>
    <t xml:space="preserve">Do you have a disaster recovery plan with stated recovery time and recovery point targets?</t>
  </si>
  <si>
    <t xml:space="preserve">CP-2</t>
  </si>
  <si>
    <t xml:space="preserve">Q29</t>
  </si>
  <si>
    <t xml:space="preserve">Have you tested restoring from backup or failing over in the last 12 months, with results written down?</t>
  </si>
  <si>
    <t xml:space="preserve">CP-4</t>
  </si>
  <si>
    <t xml:space="preserve">Q30</t>
  </si>
  <si>
    <t xml:space="preserve">RC.CO Incident Recovery Communication</t>
  </si>
  <si>
    <t xml:space="preserve">Do you tell customers about outages and recovery progress through a status page and direct updates?</t>
  </si>
  <si>
    <t xml:space="preserve">Vendor assessment: Tallgrass Cloud Analytics (FICTIONAL vendor)</t>
  </si>
  <si>
    <t xml:space="preserve">Worked example. The vendor and every answer are invented by me. Scores are my judgments using the Rubric. Blue cells are inputs.</t>
  </si>
  <si>
    <t xml:space="preserve">Weighted risk points</t>
  </si>
  <si>
    <t xml:space="preserve">Maximum possible points</t>
  </si>
  <si>
    <t xml:space="preserve">Weighted risk share</t>
  </si>
  <si>
    <t xml:space="preserve">Band from the weighted share</t>
  </si>
  <si>
    <t xml:space="preserve">Gating questions scored 3</t>
  </si>
  <si>
    <t xml:space="preserve">Final band (gating rule applied)</t>
  </si>
  <si>
    <t xml:space="preserve">Recommendation</t>
  </si>
  <si>
    <t xml:space="preserve">Questions scored 3 (not in place or no answer)</t>
  </si>
  <si>
    <t xml:space="preserve">Vendor answer (fictional)</t>
  </si>
  <si>
    <t xml:space="preserve">Risk score (0 to 3)</t>
  </si>
  <si>
    <t xml:space="preserve">Weighted points</t>
  </si>
  <si>
    <t xml:space="preserve">Maximum points</t>
  </si>
  <si>
    <t xml:space="preserve">Yes. Policy v4.2 approved by the head of security, last reviewed 8 months ago. Copy provided.</t>
  </si>
  <si>
    <t xml:space="preserve">Yes. Our head of security owns the program and reports to the CTO.</t>
  </si>
  <si>
    <t xml:space="preserve">We list our hosting provider. Other subprocessors are reviewed informally and the list is not published.</t>
  </si>
  <si>
    <t xml:space="preserve">We hold a SOC 2 Type I report. The Type II audit window is open and the report is expected next quarter.</t>
  </si>
  <si>
    <t xml:space="preserve">Yes. We assess annually and track risks in a spreadsheet. We have not shared the register.</t>
  </si>
  <si>
    <t xml:space="preserve">Yes, maintained by the platform team. Not provided yet.</t>
  </si>
  <si>
    <t xml:space="preserve">Yes. United States regions only, documented in our data processing addendum. Copy provided.</t>
  </si>
  <si>
    <t xml:space="preserve">Monthly scans. Critical findings are fixed within 30 days.</t>
  </si>
  <si>
    <t xml:space="preserve">Annual test. The last one was 14 months ago. We share an executive summary under NDA.</t>
  </si>
  <si>
    <t xml:space="preserve">Yes, enforced for all administrators. Screenshot of the policy provided.</t>
  </si>
  <si>
    <t xml:space="preserve">Single sign on is available on the enterprise tier only. MFA is optional for customer users.</t>
  </si>
  <si>
    <t xml:space="preserve">Roles and quarterly reviews are in place. Removal after departure takes up to 3 business days.</t>
  </si>
  <si>
    <t xml:space="preserve">Yes. AES 256 using the cloud provider key management service. Architecture diagram provided.</t>
  </si>
  <si>
    <t xml:space="preserve">Yes. TLS 1.2 or higher on all external connections. Scan result provided.</t>
  </si>
  <si>
    <t xml:space="preserve">Yes, by tenant ID in a shared database. No independent test of the separation.</t>
  </si>
  <si>
    <t xml:space="preserve">Yes. Baselines are documented and patches follow a monthly cycle. Not evidenced yet.</t>
  </si>
  <si>
    <t xml:space="preserve">Yes. Completion report provided, 98 percent complete.</t>
  </si>
  <si>
    <t xml:space="preserve">Daily encrypted backups with restricted access. Not evidenced yet.</t>
  </si>
  <si>
    <t xml:space="preserve">Separated. The support staging area sometimes holds samples copied from production.</t>
  </si>
  <si>
    <t xml:space="preserve">Data export is available through an API. Deletion takes up to 90 days and we do not issue a certificate.</t>
  </si>
  <si>
    <t xml:space="preserve">We log those events. Logs are kept for 30 days online.</t>
  </si>
  <si>
    <t xml:space="preserve">Automated alerts run all day. Analysts review alerts during business hours, with an on call engineer for severe alerts.</t>
  </si>
  <si>
    <t xml:space="preserve">Yes. Runbook exists. Not provided yet.</t>
  </si>
  <si>
    <t xml:space="preserve">The plan exists. The last tabletop exercise was 18 months ago.</t>
  </si>
  <si>
    <t xml:space="preserve">Our standard terms say we notify customers within 7 days of confirmation.</t>
  </si>
  <si>
    <t xml:space="preserve">A security mailbox is watched during business hours. A phone number exists for severity 1 incidents.</t>
  </si>
  <si>
    <t xml:space="preserve">Yes, a summary is provided on request.</t>
  </si>
  <si>
    <t xml:space="preserve">Yes. Recovery time target 24 hours and recovery point target 24 hours. Plan not provided yet.</t>
  </si>
  <si>
    <t xml:space="preserve">No restore test has been run in the last 12 months.</t>
  </si>
  <si>
    <t xml:space="preserve">Yes. Public status page and email updates. Example provided.</t>
  </si>
  <si>
    <t xml:space="preserve">Risk by CSF 2.0 function (fictional vendor)</t>
  </si>
  <si>
    <t xml:space="preserve">Function</t>
  </si>
  <si>
    <t xml:space="preserve">Risk share</t>
  </si>
  <si>
    <t xml:space="preserve">Total</t>
  </si>
  <si>
    <t xml:space="preserve">Contract clauses I would require (fictional vendor)</t>
  </si>
  <si>
    <t xml:space="preserve">Not legal advice. These are the clauses I would ask a lawyer to put in the agreement, each tied to a finding.</t>
  </si>
  <si>
    <t xml:space="preserve">Clause</t>
  </si>
  <si>
    <t xml:space="preserve">Why</t>
  </si>
  <si>
    <t xml:space="preserve">Questions</t>
  </si>
  <si>
    <t xml:space="preserve">Priority</t>
  </si>
  <si>
    <t xml:space="preserve">C1</t>
  </si>
  <si>
    <t xml:space="preserve">Security incident notice within 72 hours of confirmation, with a named contact and regular updates until closed.</t>
  </si>
  <si>
    <t xml:space="preserve">Their standard terms allow 7 days. This is the one gating failure.</t>
  </si>
  <si>
    <t xml:space="preserve">Q25, Q26</t>
  </si>
  <si>
    <t xml:space="preserve">Must have</t>
  </si>
  <si>
    <t xml:space="preserve">C2</t>
  </si>
  <si>
    <t xml:space="preserve">Delivery of a SOC 2 Type II report within 6 months of signing, and every year after. Right to terminate if it is not delivered or has qualified findings.</t>
  </si>
  <si>
    <t xml:space="preserve">Only a Type I report exists today. Type I shows design, not that controls worked over time.</t>
  </si>
  <si>
    <t xml:space="preserve">C3</t>
  </si>
  <si>
    <t xml:space="preserve">Right to audit: customer may request evidence of controls once a year and may use an independent assessor after a security incident.</t>
  </si>
  <si>
    <t xml:space="preserve">Many answers are stated but not evidenced.</t>
  </si>
  <si>
    <t xml:space="preserve">Q05, Q06, Q15, Q16, Q18, Q23</t>
  </si>
  <si>
    <t xml:space="preserve">C4</t>
  </si>
  <si>
    <t xml:space="preserve">Data return in a usable format within 30 days of contract end, deletion within 30 days after that, and a signed deletion certificate.</t>
  </si>
  <si>
    <t xml:space="preserve">Deletion takes up to 90 days with no certificate.</t>
  </si>
  <si>
    <t xml:space="preserve">C5</t>
  </si>
  <si>
    <t xml:space="preserve">Subprocessor list kept current, 30 days notice of any change, and the same security terms passed to every subprocessor.</t>
  </si>
  <si>
    <t xml:space="preserve">The list is not published and fourth party reviews are informal.</t>
  </si>
  <si>
    <t xml:space="preserve">C6</t>
  </si>
  <si>
    <t xml:space="preserve">Minimum security terms: MFA for all privileged access, encryption at rest and in transit, and log retention of at least 90 days.</t>
  </si>
  <si>
    <t xml:space="preserve">Log retention is 30 days. MFA and encryption are already in place and should be locked in.</t>
  </si>
  <si>
    <t xml:space="preserve">Q10, Q13, Q14, Q21</t>
  </si>
  <si>
    <t xml:space="preserve">Should have</t>
  </si>
  <si>
    <t xml:space="preserve">C7</t>
  </si>
  <si>
    <t xml:space="preserve">Annual disaster recovery test with results shared, and a recovery time of 24 hours or better.</t>
  </si>
  <si>
    <t xml:space="preserve">No restore test in the last 12 months.</t>
  </si>
  <si>
    <t xml:space="preserve">Q28, Q29</t>
  </si>
  <si>
    <t xml:space="preserve">C8</t>
  </si>
  <si>
    <t xml:space="preserve">Penetration test summary shared every year, with critical findings fixed within 15 days.</t>
  </si>
  <si>
    <t xml:space="preserve">The last test is 14 months old and critical fixes can take 30 days.</t>
  </si>
  <si>
    <t xml:space="preserve">Q08, Q09</t>
  </si>
  <si>
    <t xml:space="preserve">C9</t>
  </si>
  <si>
    <t xml:space="preserve">Customer data held only in agreed United States regions, with no production data in non production systems.</t>
  </si>
  <si>
    <t xml:space="preserve">Support staging sometimes holds production samples.</t>
  </si>
  <si>
    <t xml:space="preserve">Q07, Q19</t>
  </si>
  <si>
    <t xml:space="preserve">C10</t>
  </si>
  <si>
    <t xml:space="preserve">Right to terminate for material security failure, and vendor liability that covers the costs of a breach it causes.</t>
  </si>
  <si>
    <t xml:space="preserve">Gives the customer a way out and shifts breach costs to the party that controls the risk.</t>
  </si>
  <si>
    <t xml:space="preserve">All gating questions</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</si>
</sst>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
    <numFmt numFmtId="169"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C6E0B4"/>
        <bgColor rgb="FFBFBFBF"/>
      </patternFill>
    </fill>
    <fill>
      <patternFill patternType="solid">
        <fgColor rgb="FFFFE699"/>
        <bgColor rgb="FFFFFFCC"/>
      </patternFill>
    </fill>
    <fill>
      <patternFill patternType="solid">
        <fgColor rgb="FFF4B183"/>
        <bgColor rgb="FFFF99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left" vertical="top" textRotation="0" wrapText="false" indent="0" shrinkToFit="false"/>
      <protection locked="true" hidden="false"/>
    </xf>
    <xf numFmtId="167" fontId="7" fillId="0" borderId="0" xfId="0" applyFont="true" applyBorder="false" applyAlignment="true" applyProtection="false">
      <alignment horizontal="left" vertical="top" textRotation="0" wrapText="false" indent="0" shrinkToFit="false"/>
      <protection locked="true" hidden="false"/>
    </xf>
    <xf numFmtId="168" fontId="7" fillId="0" borderId="0" xfId="0" applyFont="true" applyBorder="false" applyAlignment="true" applyProtection="false">
      <alignment horizontal="left" vertical="top" textRotation="0" wrapText="false" indent="0" shrinkToFit="false"/>
      <protection locked="true" hidden="false"/>
    </xf>
    <xf numFmtId="168" fontId="7" fillId="0" borderId="0" xfId="0" applyFont="true" applyBorder="false" applyAlignment="true" applyProtection="false">
      <alignment horizontal="left" vertical="top" textRotation="0" wrapText="true" indent="0" shrinkToFit="false"/>
      <protection locked="true" hidden="false"/>
    </xf>
    <xf numFmtId="169" fontId="7" fillId="0" borderId="0" xfId="0" applyFont="true" applyBorder="fals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FE699"/>
        </patternFill>
      </fill>
    </dxf>
    <dxf>
      <fill>
        <patternFill>
          <bgColor rgb="FFF4B18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183"/>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row>
    <row r="4" customFormat="false" ht="31.5" hidden="false" customHeight="true" outlineLevel="0" collapsed="false">
      <c r="A4" s="3" t="s">
        <v>2</v>
      </c>
      <c r="B4" s="3" t="s">
        <v>3</v>
      </c>
    </row>
    <row r="5" customFormat="false" ht="15" hidden="false" customHeight="false" outlineLevel="0" collapsed="false">
      <c r="A5" s="4" t="n">
        <v>0</v>
      </c>
      <c r="B5" s="5" t="s">
        <v>4</v>
      </c>
    </row>
    <row r="6" customFormat="false" ht="15" hidden="false" customHeight="false" outlineLevel="0" collapsed="false">
      <c r="A6" s="4" t="n">
        <v>1</v>
      </c>
      <c r="B6" s="5" t="s">
        <v>5</v>
      </c>
    </row>
    <row r="7" customFormat="false" ht="15" hidden="false" customHeight="false" outlineLevel="0" collapsed="false">
      <c r="A7" s="4" t="n">
        <v>2</v>
      </c>
      <c r="B7" s="5" t="s">
        <v>6</v>
      </c>
    </row>
    <row r="8" customFormat="false" ht="15" hidden="false" customHeight="false" outlineLevel="0" collapsed="false">
      <c r="A8" s="4" t="n">
        <v>3</v>
      </c>
      <c r="B8" s="5" t="s">
        <v>7</v>
      </c>
    </row>
    <row r="10" customFormat="false" ht="15" hidden="false" customHeight="false" outlineLevel="0" collapsed="false">
      <c r="A10" s="2" t="s">
        <v>8</v>
      </c>
    </row>
    <row r="11" customFormat="false" ht="15" hidden="false" customHeight="false" outlineLevel="0" collapsed="false">
      <c r="A11" s="4" t="n">
        <v>3</v>
      </c>
      <c r="B11" s="5" t="s">
        <v>9</v>
      </c>
    </row>
    <row r="12" customFormat="false" ht="15" hidden="false" customHeight="false" outlineLevel="0" collapsed="false">
      <c r="A12" s="4" t="n">
        <v>2</v>
      </c>
      <c r="B12" s="5" t="s">
        <v>10</v>
      </c>
    </row>
    <row r="13" customFormat="false" ht="15" hidden="false" customHeight="false" outlineLevel="0" collapsed="false">
      <c r="A13" s="4" t="n">
        <v>1</v>
      </c>
      <c r="B13" s="5" t="s">
        <v>11</v>
      </c>
    </row>
    <row r="15" customFormat="false" ht="15" hidden="false" customHeight="false" outlineLevel="0" collapsed="false">
      <c r="A15" s="2" t="s">
        <v>12</v>
      </c>
    </row>
    <row r="16" customFormat="false" ht="31.5" hidden="false" customHeight="true" outlineLevel="0" collapsed="false">
      <c r="A16" s="3" t="s">
        <v>13</v>
      </c>
      <c r="B16" s="3" t="s">
        <v>14</v>
      </c>
    </row>
    <row r="17" customFormat="false" ht="15" hidden="false" customHeight="false" outlineLevel="0" collapsed="false">
      <c r="A17" s="6" t="s">
        <v>15</v>
      </c>
      <c r="B17" s="7" t="n">
        <v>0.25</v>
      </c>
    </row>
    <row r="18" customFormat="false" ht="15" hidden="false" customHeight="false" outlineLevel="0" collapsed="false">
      <c r="A18" s="8" t="s">
        <v>16</v>
      </c>
      <c r="B18" s="7" t="n">
        <v>0.5</v>
      </c>
    </row>
    <row r="19" customFormat="false" ht="15" hidden="false" customHeight="false" outlineLevel="0" collapsed="false">
      <c r="A19" s="9" t="s">
        <v>17</v>
      </c>
      <c r="B19" s="7" t="n">
        <v>1</v>
      </c>
    </row>
    <row r="21" customFormat="false" ht="15" hidden="false" customHeight="false" outlineLevel="0" collapsed="false">
      <c r="A21" s="2" t="s">
        <v>18</v>
      </c>
    </row>
    <row r="22" customFormat="false" ht="57.75" hidden="false" customHeight="true" outlineLevel="0" collapsed="false">
      <c r="B22" s="10" t="s">
        <v>19</v>
      </c>
    </row>
    <row r="24" customFormat="false" ht="15" hidden="false" customHeight="false" outlineLevel="0" collapsed="false">
      <c r="A24" s="2" t="s">
        <v>20</v>
      </c>
    </row>
    <row r="25" customFormat="false" ht="15" hidden="false" customHeight="false" outlineLevel="0" collapsed="false">
      <c r="A25" s="5" t="s">
        <v>21</v>
      </c>
    </row>
    <row r="26" customFormat="false" ht="15" hidden="false" customHeight="false" outlineLevel="0" collapsed="false">
      <c r="A26" s="5" t="s">
        <v>22</v>
      </c>
    </row>
    <row r="27" customFormat="false" ht="15" hidden="false" customHeight="false" outlineLevel="0" collapsed="false">
      <c r="A27" s="5" t="s">
        <v>23</v>
      </c>
    </row>
    <row r="28" customFormat="false" ht="15" hidden="false" customHeight="false" outlineLevel="0" collapsed="false">
      <c r="A28" s="5" t="s">
        <v>24</v>
      </c>
    </row>
    <row r="29" customFormat="false" ht="15" hidden="false" customHeight="false" outlineLevel="0" collapsed="false">
      <c r="A29" s="5"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8"/>
    <col collapsed="false" customWidth="true" hidden="false" outlineLevel="0" max="4" min="4" style="0" width="60"/>
    <col collapsed="false" customWidth="true" hidden="false" outlineLevel="0" max="6" min="5" style="0" width="8"/>
    <col collapsed="false" customWidth="true" hidden="false" outlineLevel="0" max="7" min="7" style="0" width="12"/>
    <col collapsed="false" customWidth="true" hidden="false" outlineLevel="0" max="8" min="8" style="0" width="40"/>
    <col collapsed="false" customWidth="true" hidden="false" outlineLevel="0" max="9" min="9" style="0" width="28"/>
  </cols>
  <sheetData>
    <row r="1" customFormat="false" ht="17.35" hidden="false" customHeight="false" outlineLevel="0" collapsed="false">
      <c r="A1" s="1" t="s">
        <v>26</v>
      </c>
    </row>
    <row r="2" customFormat="false" ht="15" hidden="false" customHeight="false" outlineLevel="0" collapsed="false">
      <c r="A2" s="11" t="s">
        <v>27</v>
      </c>
    </row>
    <row r="4" customFormat="false" ht="31.5" hidden="false" customHeight="true" outlineLevel="0" collapsed="false">
      <c r="A4" s="3" t="s">
        <v>28</v>
      </c>
      <c r="B4" s="3" t="s">
        <v>29</v>
      </c>
      <c r="C4" s="3" t="s">
        <v>30</v>
      </c>
      <c r="D4" s="3" t="s">
        <v>31</v>
      </c>
      <c r="E4" s="3" t="s">
        <v>32</v>
      </c>
      <c r="F4" s="3" t="s">
        <v>33</v>
      </c>
      <c r="G4" s="3" t="s">
        <v>34</v>
      </c>
      <c r="H4" s="3" t="s">
        <v>35</v>
      </c>
      <c r="I4" s="3" t="s">
        <v>36</v>
      </c>
    </row>
    <row r="5" customFormat="false" ht="43.5" hidden="false" customHeight="true" outlineLevel="0" collapsed="false">
      <c r="A5" s="12" t="s">
        <v>37</v>
      </c>
      <c r="B5" s="12" t="s">
        <v>38</v>
      </c>
      <c r="C5" s="13" t="s">
        <v>39</v>
      </c>
      <c r="D5" s="13" t="s">
        <v>40</v>
      </c>
      <c r="E5" s="12" t="n">
        <v>2</v>
      </c>
      <c r="F5" s="12" t="s">
        <v>41</v>
      </c>
      <c r="G5" s="12" t="s">
        <v>42</v>
      </c>
      <c r="H5" s="13"/>
      <c r="I5" s="13"/>
    </row>
    <row r="6" customFormat="false" ht="43.5" hidden="false" customHeight="true" outlineLevel="0" collapsed="false">
      <c r="A6" s="12" t="s">
        <v>43</v>
      </c>
      <c r="B6" s="12" t="s">
        <v>38</v>
      </c>
      <c r="C6" s="13" t="s">
        <v>44</v>
      </c>
      <c r="D6" s="13" t="s">
        <v>45</v>
      </c>
      <c r="E6" s="12" t="n">
        <v>2</v>
      </c>
      <c r="F6" s="12" t="s">
        <v>41</v>
      </c>
      <c r="G6" s="12" t="s">
        <v>46</v>
      </c>
      <c r="H6" s="13"/>
      <c r="I6" s="13"/>
    </row>
    <row r="7" customFormat="false" ht="43.5" hidden="false" customHeight="true" outlineLevel="0" collapsed="false">
      <c r="A7" s="12" t="s">
        <v>47</v>
      </c>
      <c r="B7" s="12" t="s">
        <v>38</v>
      </c>
      <c r="C7" s="13" t="s">
        <v>48</v>
      </c>
      <c r="D7" s="13" t="s">
        <v>49</v>
      </c>
      <c r="E7" s="12" t="n">
        <v>3</v>
      </c>
      <c r="F7" s="12" t="s">
        <v>41</v>
      </c>
      <c r="G7" s="12" t="s">
        <v>50</v>
      </c>
      <c r="H7" s="13"/>
      <c r="I7" s="13"/>
    </row>
    <row r="8" customFormat="false" ht="43.5" hidden="false" customHeight="true" outlineLevel="0" collapsed="false">
      <c r="A8" s="12" t="s">
        <v>51</v>
      </c>
      <c r="B8" s="12" t="s">
        <v>38</v>
      </c>
      <c r="C8" s="13" t="s">
        <v>52</v>
      </c>
      <c r="D8" s="13" t="s">
        <v>53</v>
      </c>
      <c r="E8" s="12" t="n">
        <v>3</v>
      </c>
      <c r="F8" s="12" t="s">
        <v>41</v>
      </c>
      <c r="G8" s="12" t="s">
        <v>54</v>
      </c>
      <c r="H8" s="13"/>
      <c r="I8" s="13"/>
    </row>
    <row r="9" customFormat="false" ht="43.5" hidden="false" customHeight="true" outlineLevel="0" collapsed="false">
      <c r="A9" s="12" t="s">
        <v>55</v>
      </c>
      <c r="B9" s="12" t="s">
        <v>38</v>
      </c>
      <c r="C9" s="13" t="s">
        <v>56</v>
      </c>
      <c r="D9" s="13" t="s">
        <v>57</v>
      </c>
      <c r="E9" s="12" t="n">
        <v>2</v>
      </c>
      <c r="F9" s="12" t="s">
        <v>41</v>
      </c>
      <c r="G9" s="12" t="s">
        <v>58</v>
      </c>
      <c r="H9" s="13"/>
      <c r="I9" s="13"/>
    </row>
    <row r="10" customFormat="false" ht="43.5" hidden="false" customHeight="true" outlineLevel="0" collapsed="false">
      <c r="A10" s="12" t="s">
        <v>59</v>
      </c>
      <c r="B10" s="12" t="s">
        <v>60</v>
      </c>
      <c r="C10" s="13" t="s">
        <v>61</v>
      </c>
      <c r="D10" s="13" t="s">
        <v>62</v>
      </c>
      <c r="E10" s="12" t="n">
        <v>2</v>
      </c>
      <c r="F10" s="12" t="s">
        <v>41</v>
      </c>
      <c r="G10" s="12" t="s">
        <v>63</v>
      </c>
      <c r="H10" s="13"/>
      <c r="I10" s="13"/>
    </row>
    <row r="11" customFormat="false" ht="43.5" hidden="false" customHeight="true" outlineLevel="0" collapsed="false">
      <c r="A11" s="12" t="s">
        <v>64</v>
      </c>
      <c r="B11" s="12" t="s">
        <v>60</v>
      </c>
      <c r="C11" s="13" t="s">
        <v>61</v>
      </c>
      <c r="D11" s="13" t="s">
        <v>65</v>
      </c>
      <c r="E11" s="12" t="n">
        <v>2</v>
      </c>
      <c r="F11" s="12" t="s">
        <v>41</v>
      </c>
      <c r="G11" s="12" t="s">
        <v>66</v>
      </c>
      <c r="H11" s="13"/>
      <c r="I11" s="13"/>
    </row>
    <row r="12" customFormat="false" ht="43.5" hidden="false" customHeight="true" outlineLevel="0" collapsed="false">
      <c r="A12" s="12" t="s">
        <v>67</v>
      </c>
      <c r="B12" s="12" t="s">
        <v>60</v>
      </c>
      <c r="C12" s="13" t="s">
        <v>68</v>
      </c>
      <c r="D12" s="13" t="s">
        <v>69</v>
      </c>
      <c r="E12" s="12" t="n">
        <v>3</v>
      </c>
      <c r="F12" s="12" t="s">
        <v>41</v>
      </c>
      <c r="G12" s="12" t="s">
        <v>70</v>
      </c>
      <c r="H12" s="13"/>
      <c r="I12" s="13"/>
    </row>
    <row r="13" customFormat="false" ht="43.5" hidden="false" customHeight="true" outlineLevel="0" collapsed="false">
      <c r="A13" s="12" t="s">
        <v>71</v>
      </c>
      <c r="B13" s="12" t="s">
        <v>60</v>
      </c>
      <c r="C13" s="13" t="s">
        <v>72</v>
      </c>
      <c r="D13" s="13" t="s">
        <v>73</v>
      </c>
      <c r="E13" s="12" t="n">
        <v>2</v>
      </c>
      <c r="F13" s="12" t="s">
        <v>41</v>
      </c>
      <c r="G13" s="12" t="s">
        <v>74</v>
      </c>
      <c r="H13" s="13"/>
      <c r="I13" s="13"/>
    </row>
    <row r="14" customFormat="false" ht="43.5" hidden="false" customHeight="true" outlineLevel="0" collapsed="false">
      <c r="A14" s="12" t="s">
        <v>75</v>
      </c>
      <c r="B14" s="12" t="s">
        <v>76</v>
      </c>
      <c r="C14" s="13" t="s">
        <v>77</v>
      </c>
      <c r="D14" s="13" t="s">
        <v>78</v>
      </c>
      <c r="E14" s="12" t="n">
        <v>3</v>
      </c>
      <c r="F14" s="12" t="s">
        <v>79</v>
      </c>
      <c r="G14" s="12" t="s">
        <v>80</v>
      </c>
      <c r="H14" s="13"/>
      <c r="I14" s="13"/>
    </row>
    <row r="15" customFormat="false" ht="43.5" hidden="false" customHeight="true" outlineLevel="0" collapsed="false">
      <c r="A15" s="12" t="s">
        <v>81</v>
      </c>
      <c r="B15" s="12" t="s">
        <v>76</v>
      </c>
      <c r="C15" s="13" t="s">
        <v>77</v>
      </c>
      <c r="D15" s="13" t="s">
        <v>82</v>
      </c>
      <c r="E15" s="12" t="n">
        <v>2</v>
      </c>
      <c r="F15" s="12" t="s">
        <v>41</v>
      </c>
      <c r="G15" s="12" t="s">
        <v>83</v>
      </c>
      <c r="H15" s="13"/>
      <c r="I15" s="13"/>
    </row>
    <row r="16" customFormat="false" ht="43.5" hidden="false" customHeight="true" outlineLevel="0" collapsed="false">
      <c r="A16" s="12" t="s">
        <v>84</v>
      </c>
      <c r="B16" s="12" t="s">
        <v>76</v>
      </c>
      <c r="C16" s="13" t="s">
        <v>77</v>
      </c>
      <c r="D16" s="13" t="s">
        <v>85</v>
      </c>
      <c r="E16" s="12" t="n">
        <v>3</v>
      </c>
      <c r="F16" s="12" t="s">
        <v>41</v>
      </c>
      <c r="G16" s="12" t="s">
        <v>86</v>
      </c>
      <c r="H16" s="13"/>
      <c r="I16" s="13"/>
    </row>
    <row r="17" customFormat="false" ht="43.5" hidden="false" customHeight="true" outlineLevel="0" collapsed="false">
      <c r="A17" s="12" t="s">
        <v>87</v>
      </c>
      <c r="B17" s="12" t="s">
        <v>76</v>
      </c>
      <c r="C17" s="13" t="s">
        <v>88</v>
      </c>
      <c r="D17" s="13" t="s">
        <v>89</v>
      </c>
      <c r="E17" s="12" t="n">
        <v>3</v>
      </c>
      <c r="F17" s="12" t="s">
        <v>79</v>
      </c>
      <c r="G17" s="12" t="s">
        <v>90</v>
      </c>
      <c r="H17" s="13"/>
      <c r="I17" s="13"/>
    </row>
    <row r="18" customFormat="false" ht="43.5" hidden="false" customHeight="true" outlineLevel="0" collapsed="false">
      <c r="A18" s="12" t="s">
        <v>91</v>
      </c>
      <c r="B18" s="12" t="s">
        <v>76</v>
      </c>
      <c r="C18" s="13" t="s">
        <v>88</v>
      </c>
      <c r="D18" s="13" t="s">
        <v>92</v>
      </c>
      <c r="E18" s="12" t="n">
        <v>3</v>
      </c>
      <c r="F18" s="12" t="s">
        <v>79</v>
      </c>
      <c r="G18" s="12" t="s">
        <v>93</v>
      </c>
      <c r="H18" s="13"/>
      <c r="I18" s="13"/>
    </row>
    <row r="19" customFormat="false" ht="43.5" hidden="false" customHeight="true" outlineLevel="0" collapsed="false">
      <c r="A19" s="12" t="s">
        <v>94</v>
      </c>
      <c r="B19" s="12" t="s">
        <v>76</v>
      </c>
      <c r="C19" s="13" t="s">
        <v>88</v>
      </c>
      <c r="D19" s="13" t="s">
        <v>95</v>
      </c>
      <c r="E19" s="12" t="n">
        <v>2</v>
      </c>
      <c r="F19" s="12" t="s">
        <v>41</v>
      </c>
      <c r="G19" s="12" t="s">
        <v>96</v>
      </c>
      <c r="H19" s="13"/>
      <c r="I19" s="13"/>
    </row>
    <row r="20" customFormat="false" ht="43.5" hidden="false" customHeight="true" outlineLevel="0" collapsed="false">
      <c r="A20" s="12" t="s">
        <v>97</v>
      </c>
      <c r="B20" s="12" t="s">
        <v>76</v>
      </c>
      <c r="C20" s="13" t="s">
        <v>98</v>
      </c>
      <c r="D20" s="13" t="s">
        <v>99</v>
      </c>
      <c r="E20" s="12" t="n">
        <v>2</v>
      </c>
      <c r="F20" s="12" t="s">
        <v>41</v>
      </c>
      <c r="G20" s="12" t="s">
        <v>100</v>
      </c>
      <c r="H20" s="13"/>
      <c r="I20" s="13"/>
    </row>
    <row r="21" customFormat="false" ht="43.5" hidden="false" customHeight="true" outlineLevel="0" collapsed="false">
      <c r="A21" s="12" t="s">
        <v>101</v>
      </c>
      <c r="B21" s="12" t="s">
        <v>76</v>
      </c>
      <c r="C21" s="13" t="s">
        <v>102</v>
      </c>
      <c r="D21" s="13" t="s">
        <v>103</v>
      </c>
      <c r="E21" s="12" t="n">
        <v>1</v>
      </c>
      <c r="F21" s="12" t="s">
        <v>41</v>
      </c>
      <c r="G21" s="12" t="s">
        <v>104</v>
      </c>
      <c r="H21" s="13"/>
      <c r="I21" s="13"/>
    </row>
    <row r="22" customFormat="false" ht="43.5" hidden="false" customHeight="true" outlineLevel="0" collapsed="false">
      <c r="A22" s="12" t="s">
        <v>105</v>
      </c>
      <c r="B22" s="12" t="s">
        <v>76</v>
      </c>
      <c r="C22" s="13" t="s">
        <v>88</v>
      </c>
      <c r="D22" s="13" t="s">
        <v>106</v>
      </c>
      <c r="E22" s="12" t="n">
        <v>2</v>
      </c>
      <c r="F22" s="12" t="s">
        <v>41</v>
      </c>
      <c r="G22" s="12" t="s">
        <v>107</v>
      </c>
      <c r="H22" s="13"/>
      <c r="I22" s="13"/>
    </row>
    <row r="23" customFormat="false" ht="43.5" hidden="false" customHeight="true" outlineLevel="0" collapsed="false">
      <c r="A23" s="12" t="s">
        <v>108</v>
      </c>
      <c r="B23" s="12" t="s">
        <v>76</v>
      </c>
      <c r="C23" s="13" t="s">
        <v>109</v>
      </c>
      <c r="D23" s="13" t="s">
        <v>110</v>
      </c>
      <c r="E23" s="12" t="n">
        <v>2</v>
      </c>
      <c r="F23" s="12" t="s">
        <v>41</v>
      </c>
      <c r="G23" s="12" t="s">
        <v>111</v>
      </c>
      <c r="H23" s="13"/>
      <c r="I23" s="13"/>
    </row>
    <row r="24" customFormat="false" ht="43.5" hidden="false" customHeight="true" outlineLevel="0" collapsed="false">
      <c r="A24" s="12" t="s">
        <v>112</v>
      </c>
      <c r="B24" s="12" t="s">
        <v>76</v>
      </c>
      <c r="C24" s="13" t="s">
        <v>88</v>
      </c>
      <c r="D24" s="13" t="s">
        <v>113</v>
      </c>
      <c r="E24" s="12" t="n">
        <v>2</v>
      </c>
      <c r="F24" s="12" t="s">
        <v>41</v>
      </c>
      <c r="G24" s="12" t="s">
        <v>114</v>
      </c>
      <c r="H24" s="13"/>
      <c r="I24" s="13"/>
    </row>
    <row r="25" customFormat="false" ht="43.5" hidden="false" customHeight="true" outlineLevel="0" collapsed="false">
      <c r="A25" s="12" t="s">
        <v>115</v>
      </c>
      <c r="B25" s="12" t="s">
        <v>116</v>
      </c>
      <c r="C25" s="13" t="s">
        <v>117</v>
      </c>
      <c r="D25" s="13" t="s">
        <v>118</v>
      </c>
      <c r="E25" s="12" t="n">
        <v>3</v>
      </c>
      <c r="F25" s="12" t="s">
        <v>41</v>
      </c>
      <c r="G25" s="12" t="s">
        <v>119</v>
      </c>
      <c r="H25" s="13"/>
      <c r="I25" s="13"/>
    </row>
    <row r="26" customFormat="false" ht="43.5" hidden="false" customHeight="true" outlineLevel="0" collapsed="false">
      <c r="A26" s="12" t="s">
        <v>120</v>
      </c>
      <c r="B26" s="12" t="s">
        <v>116</v>
      </c>
      <c r="C26" s="13" t="s">
        <v>117</v>
      </c>
      <c r="D26" s="13" t="s">
        <v>121</v>
      </c>
      <c r="E26" s="12" t="n">
        <v>2</v>
      </c>
      <c r="F26" s="12" t="s">
        <v>41</v>
      </c>
      <c r="G26" s="12" t="s">
        <v>122</v>
      </c>
      <c r="H26" s="13"/>
      <c r="I26" s="13"/>
    </row>
    <row r="27" customFormat="false" ht="43.5" hidden="false" customHeight="true" outlineLevel="0" collapsed="false">
      <c r="A27" s="12" t="s">
        <v>123</v>
      </c>
      <c r="B27" s="12" t="s">
        <v>116</v>
      </c>
      <c r="C27" s="13" t="s">
        <v>124</v>
      </c>
      <c r="D27" s="13" t="s">
        <v>125</v>
      </c>
      <c r="E27" s="12" t="n">
        <v>2</v>
      </c>
      <c r="F27" s="12" t="s">
        <v>41</v>
      </c>
      <c r="G27" s="12" t="s">
        <v>126</v>
      </c>
      <c r="H27" s="13"/>
      <c r="I27" s="13"/>
    </row>
    <row r="28" customFormat="false" ht="43.5" hidden="false" customHeight="true" outlineLevel="0" collapsed="false">
      <c r="A28" s="12" t="s">
        <v>127</v>
      </c>
      <c r="B28" s="12" t="s">
        <v>128</v>
      </c>
      <c r="C28" s="13" t="s">
        <v>129</v>
      </c>
      <c r="D28" s="13" t="s">
        <v>130</v>
      </c>
      <c r="E28" s="12" t="n">
        <v>3</v>
      </c>
      <c r="F28" s="12" t="s">
        <v>41</v>
      </c>
      <c r="G28" s="12" t="s">
        <v>131</v>
      </c>
      <c r="H28" s="13"/>
      <c r="I28" s="13"/>
    </row>
    <row r="29" customFormat="false" ht="43.5" hidden="false" customHeight="true" outlineLevel="0" collapsed="false">
      <c r="A29" s="12" t="s">
        <v>132</v>
      </c>
      <c r="B29" s="12" t="s">
        <v>128</v>
      </c>
      <c r="C29" s="13" t="s">
        <v>133</v>
      </c>
      <c r="D29" s="13" t="s">
        <v>134</v>
      </c>
      <c r="E29" s="12" t="n">
        <v>3</v>
      </c>
      <c r="F29" s="12" t="s">
        <v>79</v>
      </c>
      <c r="G29" s="12" t="s">
        <v>135</v>
      </c>
      <c r="H29" s="13"/>
      <c r="I29" s="13"/>
    </row>
    <row r="30" customFormat="false" ht="43.5" hidden="false" customHeight="true" outlineLevel="0" collapsed="false">
      <c r="A30" s="12" t="s">
        <v>136</v>
      </c>
      <c r="B30" s="12" t="s">
        <v>128</v>
      </c>
      <c r="C30" s="13" t="s">
        <v>133</v>
      </c>
      <c r="D30" s="13" t="s">
        <v>137</v>
      </c>
      <c r="E30" s="12" t="n">
        <v>2</v>
      </c>
      <c r="F30" s="12" t="s">
        <v>41</v>
      </c>
      <c r="G30" s="12" t="s">
        <v>135</v>
      </c>
      <c r="H30" s="13"/>
      <c r="I30" s="13"/>
    </row>
    <row r="31" customFormat="false" ht="43.5" hidden="false" customHeight="true" outlineLevel="0" collapsed="false">
      <c r="A31" s="12" t="s">
        <v>138</v>
      </c>
      <c r="B31" s="12" t="s">
        <v>128</v>
      </c>
      <c r="C31" s="13" t="s">
        <v>139</v>
      </c>
      <c r="D31" s="13" t="s">
        <v>140</v>
      </c>
      <c r="E31" s="12" t="n">
        <v>2</v>
      </c>
      <c r="F31" s="12" t="s">
        <v>41</v>
      </c>
      <c r="G31" s="12" t="s">
        <v>141</v>
      </c>
      <c r="H31" s="13"/>
      <c r="I31" s="13"/>
    </row>
    <row r="32" customFormat="false" ht="43.5" hidden="false" customHeight="true" outlineLevel="0" collapsed="false">
      <c r="A32" s="12" t="s">
        <v>142</v>
      </c>
      <c r="B32" s="12" t="s">
        <v>143</v>
      </c>
      <c r="C32" s="13" t="s">
        <v>144</v>
      </c>
      <c r="D32" s="13" t="s">
        <v>145</v>
      </c>
      <c r="E32" s="12" t="n">
        <v>2</v>
      </c>
      <c r="F32" s="12" t="s">
        <v>41</v>
      </c>
      <c r="G32" s="12" t="s">
        <v>146</v>
      </c>
      <c r="H32" s="13"/>
      <c r="I32" s="13"/>
    </row>
    <row r="33" customFormat="false" ht="43.5" hidden="false" customHeight="true" outlineLevel="0" collapsed="false">
      <c r="A33" s="12" t="s">
        <v>147</v>
      </c>
      <c r="B33" s="12" t="s">
        <v>143</v>
      </c>
      <c r="C33" s="13" t="s">
        <v>144</v>
      </c>
      <c r="D33" s="13" t="s">
        <v>148</v>
      </c>
      <c r="E33" s="12" t="n">
        <v>3</v>
      </c>
      <c r="F33" s="12" t="s">
        <v>41</v>
      </c>
      <c r="G33" s="12" t="s">
        <v>149</v>
      </c>
      <c r="H33" s="13"/>
      <c r="I33" s="13"/>
    </row>
    <row r="34" customFormat="false" ht="43.5" hidden="false" customHeight="true" outlineLevel="0" collapsed="false">
      <c r="A34" s="12" t="s">
        <v>150</v>
      </c>
      <c r="B34" s="12" t="s">
        <v>143</v>
      </c>
      <c r="C34" s="13" t="s">
        <v>151</v>
      </c>
      <c r="D34" s="13" t="s">
        <v>152</v>
      </c>
      <c r="E34" s="12" t="n">
        <v>1</v>
      </c>
      <c r="F34" s="12" t="s">
        <v>41</v>
      </c>
      <c r="G34" s="12" t="s">
        <v>135</v>
      </c>
      <c r="H34" s="13"/>
      <c r="I34"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5" topLeftCell="E16" activePane="bottomRight" state="frozen"/>
      <selection pane="topLeft" activeCell="A1" activeCellId="0" sqref="A1"/>
      <selection pane="topRight" activeCell="E1" activeCellId="0" sqref="E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6"/>
    <col collapsed="false" customWidth="true" hidden="false" outlineLevel="0" max="4" min="4" style="0" width="52"/>
    <col collapsed="false" customWidth="true" hidden="false" outlineLevel="0" max="6" min="5" style="0" width="8"/>
    <col collapsed="false" customWidth="true" hidden="false" outlineLevel="0" max="7" min="7" style="0" width="11"/>
    <col collapsed="false" customWidth="true" hidden="false" outlineLevel="0" max="8" min="8" style="0" width="48"/>
    <col collapsed="false" customWidth="true" hidden="false" outlineLevel="0" max="11" min="9" style="0" width="10"/>
  </cols>
  <sheetData>
    <row r="1" customFormat="false" ht="17.35" hidden="false" customHeight="false" outlineLevel="0" collapsed="false">
      <c r="A1" s="1" t="s">
        <v>153</v>
      </c>
    </row>
    <row r="2" customFormat="false" ht="15" hidden="false" customHeight="false" outlineLevel="0" collapsed="false">
      <c r="A2" s="11" t="s">
        <v>154</v>
      </c>
    </row>
    <row r="5" customFormat="false" ht="15" hidden="false" customHeight="false" outlineLevel="0" collapsed="false">
      <c r="A5" s="14" t="s">
        <v>155</v>
      </c>
      <c r="B5" s="14"/>
      <c r="C5" s="14"/>
      <c r="D5" s="15" t="n">
        <f aca="false">SUM($J$16:$J$45)</f>
        <v>94</v>
      </c>
    </row>
    <row r="6" customFormat="false" ht="15" hidden="false" customHeight="false" outlineLevel="0" collapsed="false">
      <c r="A6" s="14" t="s">
        <v>156</v>
      </c>
      <c r="B6" s="14"/>
      <c r="C6" s="14"/>
      <c r="D6" s="15" t="n">
        <f aca="false">SUM($K$16:$K$45)</f>
        <v>207</v>
      </c>
    </row>
    <row r="7" customFormat="false" ht="15" hidden="false" customHeight="false" outlineLevel="0" collapsed="false">
      <c r="A7" s="14" t="s">
        <v>157</v>
      </c>
      <c r="B7" s="14"/>
      <c r="C7" s="14"/>
      <c r="D7" s="16" t="n">
        <f aca="false">D5/D6</f>
        <v>0.454106280193237</v>
      </c>
    </row>
    <row r="8" customFormat="false" ht="15" hidden="false" customHeight="false" outlineLevel="0" collapsed="false">
      <c r="A8" s="14" t="s">
        <v>158</v>
      </c>
      <c r="B8" s="14"/>
      <c r="C8" s="14"/>
      <c r="D8" s="17" t="str">
        <f aca="false">IF(D7&gt;Rubric!$B$18,"High",IF(D7&gt;Rubric!$B$17,"Medium","Low"))</f>
        <v>Medium</v>
      </c>
    </row>
    <row r="9" customFormat="false" ht="15" hidden="false" customHeight="false" outlineLevel="0" collapsed="false">
      <c r="A9" s="14" t="s">
        <v>159</v>
      </c>
      <c r="B9" s="14"/>
      <c r="C9" s="14"/>
      <c r="D9" s="15" t="n">
        <f aca="false">COUNTIFS($F$16:$F$45,"Yes",$I$16:$I$45,3)</f>
        <v>1</v>
      </c>
    </row>
    <row r="10" customFormat="false" ht="15" hidden="false" customHeight="false" outlineLevel="0" collapsed="false">
      <c r="A10" s="14" t="s">
        <v>160</v>
      </c>
      <c r="B10" s="14"/>
      <c r="C10" s="14"/>
      <c r="D10" s="17" t="str">
        <f aca="false">IF(D9&gt;0,"High",D8)</f>
        <v>High</v>
      </c>
    </row>
    <row r="11" customFormat="false" ht="55.5" hidden="false" customHeight="true" outlineLevel="0" collapsed="false">
      <c r="A11" s="14" t="s">
        <v>161</v>
      </c>
      <c r="B11" s="14"/>
      <c r="C11" s="14"/>
      <c r="D11" s="18" t="str">
        <f aca="false">IF(D10="High","Do not approve as written. Approve only if the must have contract conditions are accepted.",IF(D10="Medium","Approve with the contract conditions listed.","Approve."))</f>
        <v>Do not approve as written. Approve only if the must have contract conditions are accepted.</v>
      </c>
    </row>
    <row r="13" customFormat="false" ht="15" hidden="false" customHeight="false" outlineLevel="0" collapsed="false">
      <c r="A13" s="14" t="s">
        <v>162</v>
      </c>
      <c r="B13" s="14"/>
      <c r="C13" s="14"/>
      <c r="D13" s="19" t="n">
        <f aca="false">COUNTIF($I$16:$I$45,3)</f>
        <v>2</v>
      </c>
    </row>
    <row r="15" customFormat="false" ht="31.5" hidden="false" customHeight="true" outlineLevel="0" collapsed="false">
      <c r="A15" s="3" t="s">
        <v>28</v>
      </c>
      <c r="B15" s="3" t="s">
        <v>29</v>
      </c>
      <c r="C15" s="3" t="s">
        <v>30</v>
      </c>
      <c r="D15" s="3" t="s">
        <v>31</v>
      </c>
      <c r="E15" s="3" t="s">
        <v>32</v>
      </c>
      <c r="F15" s="3" t="s">
        <v>33</v>
      </c>
      <c r="G15" s="3" t="s">
        <v>34</v>
      </c>
      <c r="H15" s="3" t="s">
        <v>163</v>
      </c>
      <c r="I15" s="3" t="s">
        <v>164</v>
      </c>
      <c r="J15" s="3" t="s">
        <v>165</v>
      </c>
      <c r="K15" s="3" t="s">
        <v>166</v>
      </c>
    </row>
    <row r="16" customFormat="false" ht="54" hidden="false" customHeight="true" outlineLevel="0" collapsed="false">
      <c r="A16" s="12" t="s">
        <v>37</v>
      </c>
      <c r="B16" s="12" t="s">
        <v>38</v>
      </c>
      <c r="C16" s="13" t="s">
        <v>39</v>
      </c>
      <c r="D16" s="13" t="s">
        <v>40</v>
      </c>
      <c r="E16" s="20" t="n">
        <v>2</v>
      </c>
      <c r="F16" s="12" t="s">
        <v>41</v>
      </c>
      <c r="G16" s="12" t="s">
        <v>42</v>
      </c>
      <c r="H16" s="13" t="s">
        <v>167</v>
      </c>
      <c r="I16" s="20" t="n">
        <v>0</v>
      </c>
      <c r="J16" s="12" t="n">
        <f aca="false">E16*I16</f>
        <v>0</v>
      </c>
      <c r="K16" s="12" t="n">
        <f aca="false">E16*3</f>
        <v>6</v>
      </c>
    </row>
    <row r="17" customFormat="false" ht="54" hidden="false" customHeight="true" outlineLevel="0" collapsed="false">
      <c r="A17" s="12" t="s">
        <v>43</v>
      </c>
      <c r="B17" s="12" t="s">
        <v>38</v>
      </c>
      <c r="C17" s="13" t="s">
        <v>44</v>
      </c>
      <c r="D17" s="13" t="s">
        <v>45</v>
      </c>
      <c r="E17" s="20" t="n">
        <v>2</v>
      </c>
      <c r="F17" s="12" t="s">
        <v>41</v>
      </c>
      <c r="G17" s="12" t="s">
        <v>46</v>
      </c>
      <c r="H17" s="13" t="s">
        <v>168</v>
      </c>
      <c r="I17" s="20" t="n">
        <v>1</v>
      </c>
      <c r="J17" s="12" t="n">
        <f aca="false">E17*I17</f>
        <v>2</v>
      </c>
      <c r="K17" s="12" t="n">
        <f aca="false">E17*3</f>
        <v>6</v>
      </c>
    </row>
    <row r="18" customFormat="false" ht="54" hidden="false" customHeight="true" outlineLevel="0" collapsed="false">
      <c r="A18" s="12" t="s">
        <v>47</v>
      </c>
      <c r="B18" s="12" t="s">
        <v>38</v>
      </c>
      <c r="C18" s="13" t="s">
        <v>48</v>
      </c>
      <c r="D18" s="13" t="s">
        <v>49</v>
      </c>
      <c r="E18" s="20" t="n">
        <v>3</v>
      </c>
      <c r="F18" s="12" t="s">
        <v>41</v>
      </c>
      <c r="G18" s="12" t="s">
        <v>50</v>
      </c>
      <c r="H18" s="13" t="s">
        <v>169</v>
      </c>
      <c r="I18" s="20" t="n">
        <v>2</v>
      </c>
      <c r="J18" s="12" t="n">
        <f aca="false">E18*I18</f>
        <v>6</v>
      </c>
      <c r="K18" s="12" t="n">
        <f aca="false">E18*3</f>
        <v>9</v>
      </c>
    </row>
    <row r="19" customFormat="false" ht="54" hidden="false" customHeight="true" outlineLevel="0" collapsed="false">
      <c r="A19" s="12" t="s">
        <v>51</v>
      </c>
      <c r="B19" s="12" t="s">
        <v>38</v>
      </c>
      <c r="C19" s="13" t="s">
        <v>52</v>
      </c>
      <c r="D19" s="13" t="s">
        <v>53</v>
      </c>
      <c r="E19" s="20" t="n">
        <v>3</v>
      </c>
      <c r="F19" s="12" t="s">
        <v>41</v>
      </c>
      <c r="G19" s="12" t="s">
        <v>54</v>
      </c>
      <c r="H19" s="13" t="s">
        <v>170</v>
      </c>
      <c r="I19" s="20" t="n">
        <v>2</v>
      </c>
      <c r="J19" s="12" t="n">
        <f aca="false">E19*I19</f>
        <v>6</v>
      </c>
      <c r="K19" s="12" t="n">
        <f aca="false">E19*3</f>
        <v>9</v>
      </c>
    </row>
    <row r="20" customFormat="false" ht="54" hidden="false" customHeight="true" outlineLevel="0" collapsed="false">
      <c r="A20" s="12" t="s">
        <v>55</v>
      </c>
      <c r="B20" s="12" t="s">
        <v>38</v>
      </c>
      <c r="C20" s="13" t="s">
        <v>56</v>
      </c>
      <c r="D20" s="13" t="s">
        <v>57</v>
      </c>
      <c r="E20" s="20" t="n">
        <v>2</v>
      </c>
      <c r="F20" s="12" t="s">
        <v>41</v>
      </c>
      <c r="G20" s="12" t="s">
        <v>58</v>
      </c>
      <c r="H20" s="13" t="s">
        <v>171</v>
      </c>
      <c r="I20" s="20" t="n">
        <v>1</v>
      </c>
      <c r="J20" s="12" t="n">
        <f aca="false">E20*I20</f>
        <v>2</v>
      </c>
      <c r="K20" s="12" t="n">
        <f aca="false">E20*3</f>
        <v>6</v>
      </c>
    </row>
    <row r="21" customFormat="false" ht="54" hidden="false" customHeight="true" outlineLevel="0" collapsed="false">
      <c r="A21" s="12" t="s">
        <v>59</v>
      </c>
      <c r="B21" s="12" t="s">
        <v>60</v>
      </c>
      <c r="C21" s="13" t="s">
        <v>61</v>
      </c>
      <c r="D21" s="13" t="s">
        <v>62</v>
      </c>
      <c r="E21" s="20" t="n">
        <v>2</v>
      </c>
      <c r="F21" s="12" t="s">
        <v>41</v>
      </c>
      <c r="G21" s="12" t="s">
        <v>63</v>
      </c>
      <c r="H21" s="13" t="s">
        <v>172</v>
      </c>
      <c r="I21" s="20" t="n">
        <v>1</v>
      </c>
      <c r="J21" s="12" t="n">
        <f aca="false">E21*I21</f>
        <v>2</v>
      </c>
      <c r="K21" s="12" t="n">
        <f aca="false">E21*3</f>
        <v>6</v>
      </c>
    </row>
    <row r="22" customFormat="false" ht="54" hidden="false" customHeight="true" outlineLevel="0" collapsed="false">
      <c r="A22" s="12" t="s">
        <v>64</v>
      </c>
      <c r="B22" s="12" t="s">
        <v>60</v>
      </c>
      <c r="C22" s="13" t="s">
        <v>61</v>
      </c>
      <c r="D22" s="13" t="s">
        <v>65</v>
      </c>
      <c r="E22" s="20" t="n">
        <v>2</v>
      </c>
      <c r="F22" s="12" t="s">
        <v>41</v>
      </c>
      <c r="G22" s="12" t="s">
        <v>66</v>
      </c>
      <c r="H22" s="13" t="s">
        <v>173</v>
      </c>
      <c r="I22" s="20" t="n">
        <v>0</v>
      </c>
      <c r="J22" s="12" t="n">
        <f aca="false">E22*I22</f>
        <v>0</v>
      </c>
      <c r="K22" s="12" t="n">
        <f aca="false">E22*3</f>
        <v>6</v>
      </c>
    </row>
    <row r="23" customFormat="false" ht="54" hidden="false" customHeight="true" outlineLevel="0" collapsed="false">
      <c r="A23" s="12" t="s">
        <v>67</v>
      </c>
      <c r="B23" s="12" t="s">
        <v>60</v>
      </c>
      <c r="C23" s="13" t="s">
        <v>68</v>
      </c>
      <c r="D23" s="13" t="s">
        <v>69</v>
      </c>
      <c r="E23" s="20" t="n">
        <v>3</v>
      </c>
      <c r="F23" s="12" t="s">
        <v>41</v>
      </c>
      <c r="G23" s="12" t="s">
        <v>70</v>
      </c>
      <c r="H23" s="13" t="s">
        <v>174</v>
      </c>
      <c r="I23" s="20" t="n">
        <v>2</v>
      </c>
      <c r="J23" s="12" t="n">
        <f aca="false">E23*I23</f>
        <v>6</v>
      </c>
      <c r="K23" s="12" t="n">
        <f aca="false">E23*3</f>
        <v>9</v>
      </c>
    </row>
    <row r="24" customFormat="false" ht="54" hidden="false" customHeight="true" outlineLevel="0" collapsed="false">
      <c r="A24" s="12" t="s">
        <v>71</v>
      </c>
      <c r="B24" s="12" t="s">
        <v>60</v>
      </c>
      <c r="C24" s="13" t="s">
        <v>72</v>
      </c>
      <c r="D24" s="13" t="s">
        <v>73</v>
      </c>
      <c r="E24" s="20" t="n">
        <v>2</v>
      </c>
      <c r="F24" s="12" t="s">
        <v>41</v>
      </c>
      <c r="G24" s="12" t="s">
        <v>74</v>
      </c>
      <c r="H24" s="13" t="s">
        <v>175</v>
      </c>
      <c r="I24" s="20" t="n">
        <v>2</v>
      </c>
      <c r="J24" s="12" t="n">
        <f aca="false">E24*I24</f>
        <v>4</v>
      </c>
      <c r="K24" s="12" t="n">
        <f aca="false">E24*3</f>
        <v>6</v>
      </c>
    </row>
    <row r="25" customFormat="false" ht="54" hidden="false" customHeight="true" outlineLevel="0" collapsed="false">
      <c r="A25" s="12" t="s">
        <v>75</v>
      </c>
      <c r="B25" s="12" t="s">
        <v>76</v>
      </c>
      <c r="C25" s="13" t="s">
        <v>77</v>
      </c>
      <c r="D25" s="13" t="s">
        <v>78</v>
      </c>
      <c r="E25" s="20" t="n">
        <v>3</v>
      </c>
      <c r="F25" s="12" t="s">
        <v>79</v>
      </c>
      <c r="G25" s="12" t="s">
        <v>80</v>
      </c>
      <c r="H25" s="13" t="s">
        <v>176</v>
      </c>
      <c r="I25" s="20" t="n">
        <v>0</v>
      </c>
      <c r="J25" s="12" t="n">
        <f aca="false">E25*I25</f>
        <v>0</v>
      </c>
      <c r="K25" s="12" t="n">
        <f aca="false">E25*3</f>
        <v>9</v>
      </c>
    </row>
    <row r="26" customFormat="false" ht="54" hidden="false" customHeight="true" outlineLevel="0" collapsed="false">
      <c r="A26" s="12" t="s">
        <v>81</v>
      </c>
      <c r="B26" s="12" t="s">
        <v>76</v>
      </c>
      <c r="C26" s="13" t="s">
        <v>77</v>
      </c>
      <c r="D26" s="13" t="s">
        <v>82</v>
      </c>
      <c r="E26" s="20" t="n">
        <v>2</v>
      </c>
      <c r="F26" s="12" t="s">
        <v>41</v>
      </c>
      <c r="G26" s="12" t="s">
        <v>83</v>
      </c>
      <c r="H26" s="13" t="s">
        <v>177</v>
      </c>
      <c r="I26" s="20" t="n">
        <v>2</v>
      </c>
      <c r="J26" s="12" t="n">
        <f aca="false">E26*I26</f>
        <v>4</v>
      </c>
      <c r="K26" s="12" t="n">
        <f aca="false">E26*3</f>
        <v>6</v>
      </c>
    </row>
    <row r="27" customFormat="false" ht="54" hidden="false" customHeight="true" outlineLevel="0" collapsed="false">
      <c r="A27" s="12" t="s">
        <v>84</v>
      </c>
      <c r="B27" s="12" t="s">
        <v>76</v>
      </c>
      <c r="C27" s="13" t="s">
        <v>77</v>
      </c>
      <c r="D27" s="13" t="s">
        <v>85</v>
      </c>
      <c r="E27" s="20" t="n">
        <v>3</v>
      </c>
      <c r="F27" s="12" t="s">
        <v>41</v>
      </c>
      <c r="G27" s="12" t="s">
        <v>86</v>
      </c>
      <c r="H27" s="13" t="s">
        <v>178</v>
      </c>
      <c r="I27" s="20" t="n">
        <v>2</v>
      </c>
      <c r="J27" s="12" t="n">
        <f aca="false">E27*I27</f>
        <v>6</v>
      </c>
      <c r="K27" s="12" t="n">
        <f aca="false">E27*3</f>
        <v>9</v>
      </c>
    </row>
    <row r="28" customFormat="false" ht="54" hidden="false" customHeight="true" outlineLevel="0" collapsed="false">
      <c r="A28" s="12" t="s">
        <v>87</v>
      </c>
      <c r="B28" s="12" t="s">
        <v>76</v>
      </c>
      <c r="C28" s="13" t="s">
        <v>88</v>
      </c>
      <c r="D28" s="13" t="s">
        <v>89</v>
      </c>
      <c r="E28" s="20" t="n">
        <v>3</v>
      </c>
      <c r="F28" s="12" t="s">
        <v>79</v>
      </c>
      <c r="G28" s="12" t="s">
        <v>90</v>
      </c>
      <c r="H28" s="13" t="s">
        <v>179</v>
      </c>
      <c r="I28" s="20" t="n">
        <v>0</v>
      </c>
      <c r="J28" s="12" t="n">
        <f aca="false">E28*I28</f>
        <v>0</v>
      </c>
      <c r="K28" s="12" t="n">
        <f aca="false">E28*3</f>
        <v>9</v>
      </c>
    </row>
    <row r="29" customFormat="false" ht="54" hidden="false" customHeight="true" outlineLevel="0" collapsed="false">
      <c r="A29" s="12" t="s">
        <v>91</v>
      </c>
      <c r="B29" s="12" t="s">
        <v>76</v>
      </c>
      <c r="C29" s="13" t="s">
        <v>88</v>
      </c>
      <c r="D29" s="13" t="s">
        <v>92</v>
      </c>
      <c r="E29" s="20" t="n">
        <v>3</v>
      </c>
      <c r="F29" s="12" t="s">
        <v>79</v>
      </c>
      <c r="G29" s="12" t="s">
        <v>93</v>
      </c>
      <c r="H29" s="13" t="s">
        <v>180</v>
      </c>
      <c r="I29" s="20" t="n">
        <v>0</v>
      </c>
      <c r="J29" s="12" t="n">
        <f aca="false">E29*I29</f>
        <v>0</v>
      </c>
      <c r="K29" s="12" t="n">
        <f aca="false">E29*3</f>
        <v>9</v>
      </c>
    </row>
    <row r="30" customFormat="false" ht="54" hidden="false" customHeight="true" outlineLevel="0" collapsed="false">
      <c r="A30" s="12" t="s">
        <v>94</v>
      </c>
      <c r="B30" s="12" t="s">
        <v>76</v>
      </c>
      <c r="C30" s="13" t="s">
        <v>88</v>
      </c>
      <c r="D30" s="13" t="s">
        <v>95</v>
      </c>
      <c r="E30" s="20" t="n">
        <v>2</v>
      </c>
      <c r="F30" s="12" t="s">
        <v>41</v>
      </c>
      <c r="G30" s="12" t="s">
        <v>96</v>
      </c>
      <c r="H30" s="13" t="s">
        <v>181</v>
      </c>
      <c r="I30" s="20" t="n">
        <v>1</v>
      </c>
      <c r="J30" s="12" t="n">
        <f aca="false">E30*I30</f>
        <v>2</v>
      </c>
      <c r="K30" s="12" t="n">
        <f aca="false">E30*3</f>
        <v>6</v>
      </c>
    </row>
    <row r="31" customFormat="false" ht="54" hidden="false" customHeight="true" outlineLevel="0" collapsed="false">
      <c r="A31" s="12" t="s">
        <v>97</v>
      </c>
      <c r="B31" s="12" t="s">
        <v>76</v>
      </c>
      <c r="C31" s="13" t="s">
        <v>98</v>
      </c>
      <c r="D31" s="13" t="s">
        <v>99</v>
      </c>
      <c r="E31" s="20" t="n">
        <v>2</v>
      </c>
      <c r="F31" s="12" t="s">
        <v>41</v>
      </c>
      <c r="G31" s="12" t="s">
        <v>100</v>
      </c>
      <c r="H31" s="13" t="s">
        <v>182</v>
      </c>
      <c r="I31" s="20" t="n">
        <v>1</v>
      </c>
      <c r="J31" s="12" t="n">
        <f aca="false">E31*I31</f>
        <v>2</v>
      </c>
      <c r="K31" s="12" t="n">
        <f aca="false">E31*3</f>
        <v>6</v>
      </c>
    </row>
    <row r="32" customFormat="false" ht="54" hidden="false" customHeight="true" outlineLevel="0" collapsed="false">
      <c r="A32" s="12" t="s">
        <v>101</v>
      </c>
      <c r="B32" s="12" t="s">
        <v>76</v>
      </c>
      <c r="C32" s="13" t="s">
        <v>102</v>
      </c>
      <c r="D32" s="13" t="s">
        <v>103</v>
      </c>
      <c r="E32" s="20" t="n">
        <v>1</v>
      </c>
      <c r="F32" s="12" t="s">
        <v>41</v>
      </c>
      <c r="G32" s="12" t="s">
        <v>104</v>
      </c>
      <c r="H32" s="13" t="s">
        <v>183</v>
      </c>
      <c r="I32" s="20" t="n">
        <v>0</v>
      </c>
      <c r="J32" s="12" t="n">
        <f aca="false">E32*I32</f>
        <v>0</v>
      </c>
      <c r="K32" s="12" t="n">
        <f aca="false">E32*3</f>
        <v>3</v>
      </c>
    </row>
    <row r="33" customFormat="false" ht="54" hidden="false" customHeight="true" outlineLevel="0" collapsed="false">
      <c r="A33" s="12" t="s">
        <v>105</v>
      </c>
      <c r="B33" s="12" t="s">
        <v>76</v>
      </c>
      <c r="C33" s="13" t="s">
        <v>88</v>
      </c>
      <c r="D33" s="13" t="s">
        <v>106</v>
      </c>
      <c r="E33" s="20" t="n">
        <v>2</v>
      </c>
      <c r="F33" s="12" t="s">
        <v>41</v>
      </c>
      <c r="G33" s="12" t="s">
        <v>107</v>
      </c>
      <c r="H33" s="13" t="s">
        <v>184</v>
      </c>
      <c r="I33" s="20" t="n">
        <v>1</v>
      </c>
      <c r="J33" s="12" t="n">
        <f aca="false">E33*I33</f>
        <v>2</v>
      </c>
      <c r="K33" s="12" t="n">
        <f aca="false">E33*3</f>
        <v>6</v>
      </c>
    </row>
    <row r="34" customFormat="false" ht="54" hidden="false" customHeight="true" outlineLevel="0" collapsed="false">
      <c r="A34" s="12" t="s">
        <v>108</v>
      </c>
      <c r="B34" s="12" t="s">
        <v>76</v>
      </c>
      <c r="C34" s="13" t="s">
        <v>109</v>
      </c>
      <c r="D34" s="13" t="s">
        <v>110</v>
      </c>
      <c r="E34" s="20" t="n">
        <v>2</v>
      </c>
      <c r="F34" s="12" t="s">
        <v>41</v>
      </c>
      <c r="G34" s="12" t="s">
        <v>111</v>
      </c>
      <c r="H34" s="13" t="s">
        <v>185</v>
      </c>
      <c r="I34" s="20" t="n">
        <v>2</v>
      </c>
      <c r="J34" s="12" t="n">
        <f aca="false">E34*I34</f>
        <v>4</v>
      </c>
      <c r="K34" s="12" t="n">
        <f aca="false">E34*3</f>
        <v>6</v>
      </c>
    </row>
    <row r="35" customFormat="false" ht="54" hidden="false" customHeight="true" outlineLevel="0" collapsed="false">
      <c r="A35" s="12" t="s">
        <v>112</v>
      </c>
      <c r="B35" s="12" t="s">
        <v>76</v>
      </c>
      <c r="C35" s="13" t="s">
        <v>88</v>
      </c>
      <c r="D35" s="13" t="s">
        <v>113</v>
      </c>
      <c r="E35" s="20" t="n">
        <v>2</v>
      </c>
      <c r="F35" s="12" t="s">
        <v>41</v>
      </c>
      <c r="G35" s="12" t="s">
        <v>114</v>
      </c>
      <c r="H35" s="13" t="s">
        <v>186</v>
      </c>
      <c r="I35" s="20" t="n">
        <v>2</v>
      </c>
      <c r="J35" s="12" t="n">
        <f aca="false">E35*I35</f>
        <v>4</v>
      </c>
      <c r="K35" s="12" t="n">
        <f aca="false">E35*3</f>
        <v>6</v>
      </c>
    </row>
    <row r="36" customFormat="false" ht="54" hidden="false" customHeight="true" outlineLevel="0" collapsed="false">
      <c r="A36" s="12" t="s">
        <v>115</v>
      </c>
      <c r="B36" s="12" t="s">
        <v>116</v>
      </c>
      <c r="C36" s="13" t="s">
        <v>117</v>
      </c>
      <c r="D36" s="13" t="s">
        <v>118</v>
      </c>
      <c r="E36" s="20" t="n">
        <v>3</v>
      </c>
      <c r="F36" s="12" t="s">
        <v>41</v>
      </c>
      <c r="G36" s="12" t="s">
        <v>119</v>
      </c>
      <c r="H36" s="13" t="s">
        <v>187</v>
      </c>
      <c r="I36" s="20" t="n">
        <v>2</v>
      </c>
      <c r="J36" s="12" t="n">
        <f aca="false">E36*I36</f>
        <v>6</v>
      </c>
      <c r="K36" s="12" t="n">
        <f aca="false">E36*3</f>
        <v>9</v>
      </c>
    </row>
    <row r="37" customFormat="false" ht="54" hidden="false" customHeight="true" outlineLevel="0" collapsed="false">
      <c r="A37" s="12" t="s">
        <v>120</v>
      </c>
      <c r="B37" s="12" t="s">
        <v>116</v>
      </c>
      <c r="C37" s="13" t="s">
        <v>117</v>
      </c>
      <c r="D37" s="13" t="s">
        <v>121</v>
      </c>
      <c r="E37" s="20" t="n">
        <v>2</v>
      </c>
      <c r="F37" s="12" t="s">
        <v>41</v>
      </c>
      <c r="G37" s="12" t="s">
        <v>122</v>
      </c>
      <c r="H37" s="13" t="s">
        <v>188</v>
      </c>
      <c r="I37" s="20" t="n">
        <v>2</v>
      </c>
      <c r="J37" s="12" t="n">
        <f aca="false">E37*I37</f>
        <v>4</v>
      </c>
      <c r="K37" s="12" t="n">
        <f aca="false">E37*3</f>
        <v>6</v>
      </c>
    </row>
    <row r="38" customFormat="false" ht="54" hidden="false" customHeight="true" outlineLevel="0" collapsed="false">
      <c r="A38" s="12" t="s">
        <v>123</v>
      </c>
      <c r="B38" s="12" t="s">
        <v>116</v>
      </c>
      <c r="C38" s="13" t="s">
        <v>124</v>
      </c>
      <c r="D38" s="13" t="s">
        <v>125</v>
      </c>
      <c r="E38" s="20" t="n">
        <v>2</v>
      </c>
      <c r="F38" s="12" t="s">
        <v>41</v>
      </c>
      <c r="G38" s="12" t="s">
        <v>126</v>
      </c>
      <c r="H38" s="13" t="s">
        <v>189</v>
      </c>
      <c r="I38" s="20" t="n">
        <v>1</v>
      </c>
      <c r="J38" s="12" t="n">
        <f aca="false">E38*I38</f>
        <v>2</v>
      </c>
      <c r="K38" s="12" t="n">
        <f aca="false">E38*3</f>
        <v>6</v>
      </c>
    </row>
    <row r="39" customFormat="false" ht="54" hidden="false" customHeight="true" outlineLevel="0" collapsed="false">
      <c r="A39" s="12" t="s">
        <v>127</v>
      </c>
      <c r="B39" s="12" t="s">
        <v>128</v>
      </c>
      <c r="C39" s="13" t="s">
        <v>129</v>
      </c>
      <c r="D39" s="13" t="s">
        <v>130</v>
      </c>
      <c r="E39" s="20" t="n">
        <v>3</v>
      </c>
      <c r="F39" s="12" t="s">
        <v>41</v>
      </c>
      <c r="G39" s="12" t="s">
        <v>131</v>
      </c>
      <c r="H39" s="13" t="s">
        <v>190</v>
      </c>
      <c r="I39" s="20" t="n">
        <v>2</v>
      </c>
      <c r="J39" s="12" t="n">
        <f aca="false">E39*I39</f>
        <v>6</v>
      </c>
      <c r="K39" s="12" t="n">
        <f aca="false">E39*3</f>
        <v>9</v>
      </c>
    </row>
    <row r="40" customFormat="false" ht="54" hidden="false" customHeight="true" outlineLevel="0" collapsed="false">
      <c r="A40" s="12" t="s">
        <v>132</v>
      </c>
      <c r="B40" s="12" t="s">
        <v>128</v>
      </c>
      <c r="C40" s="13" t="s">
        <v>133</v>
      </c>
      <c r="D40" s="13" t="s">
        <v>134</v>
      </c>
      <c r="E40" s="20" t="n">
        <v>3</v>
      </c>
      <c r="F40" s="12" t="s">
        <v>79</v>
      </c>
      <c r="G40" s="12" t="s">
        <v>135</v>
      </c>
      <c r="H40" s="13" t="s">
        <v>191</v>
      </c>
      <c r="I40" s="20" t="n">
        <v>3</v>
      </c>
      <c r="J40" s="12" t="n">
        <f aca="false">E40*I40</f>
        <v>9</v>
      </c>
      <c r="K40" s="12" t="n">
        <f aca="false">E40*3</f>
        <v>9</v>
      </c>
    </row>
    <row r="41" customFormat="false" ht="54" hidden="false" customHeight="true" outlineLevel="0" collapsed="false">
      <c r="A41" s="12" t="s">
        <v>136</v>
      </c>
      <c r="B41" s="12" t="s">
        <v>128</v>
      </c>
      <c r="C41" s="13" t="s">
        <v>133</v>
      </c>
      <c r="D41" s="13" t="s">
        <v>137</v>
      </c>
      <c r="E41" s="20" t="n">
        <v>2</v>
      </c>
      <c r="F41" s="12" t="s">
        <v>41</v>
      </c>
      <c r="G41" s="12" t="s">
        <v>135</v>
      </c>
      <c r="H41" s="13" t="s">
        <v>192</v>
      </c>
      <c r="I41" s="20" t="n">
        <v>1</v>
      </c>
      <c r="J41" s="12" t="n">
        <f aca="false">E41*I41</f>
        <v>2</v>
      </c>
      <c r="K41" s="12" t="n">
        <f aca="false">E41*3</f>
        <v>6</v>
      </c>
    </row>
    <row r="42" customFormat="false" ht="54" hidden="false" customHeight="true" outlineLevel="0" collapsed="false">
      <c r="A42" s="12" t="s">
        <v>138</v>
      </c>
      <c r="B42" s="12" t="s">
        <v>128</v>
      </c>
      <c r="C42" s="13" t="s">
        <v>139</v>
      </c>
      <c r="D42" s="13" t="s">
        <v>140</v>
      </c>
      <c r="E42" s="20" t="n">
        <v>2</v>
      </c>
      <c r="F42" s="12" t="s">
        <v>41</v>
      </c>
      <c r="G42" s="12" t="s">
        <v>141</v>
      </c>
      <c r="H42" s="13" t="s">
        <v>193</v>
      </c>
      <c r="I42" s="20" t="n">
        <v>1</v>
      </c>
      <c r="J42" s="12" t="n">
        <f aca="false">E42*I42</f>
        <v>2</v>
      </c>
      <c r="K42" s="12" t="n">
        <f aca="false">E42*3</f>
        <v>6</v>
      </c>
    </row>
    <row r="43" customFormat="false" ht="54" hidden="false" customHeight="true" outlineLevel="0" collapsed="false">
      <c r="A43" s="12" t="s">
        <v>142</v>
      </c>
      <c r="B43" s="12" t="s">
        <v>143</v>
      </c>
      <c r="C43" s="13" t="s">
        <v>144</v>
      </c>
      <c r="D43" s="13" t="s">
        <v>145</v>
      </c>
      <c r="E43" s="20" t="n">
        <v>2</v>
      </c>
      <c r="F43" s="12" t="s">
        <v>41</v>
      </c>
      <c r="G43" s="12" t="s">
        <v>146</v>
      </c>
      <c r="H43" s="13" t="s">
        <v>194</v>
      </c>
      <c r="I43" s="20" t="n">
        <v>1</v>
      </c>
      <c r="J43" s="12" t="n">
        <f aca="false">E43*I43</f>
        <v>2</v>
      </c>
      <c r="K43" s="12" t="n">
        <f aca="false">E43*3</f>
        <v>6</v>
      </c>
    </row>
    <row r="44" customFormat="false" ht="54" hidden="false" customHeight="true" outlineLevel="0" collapsed="false">
      <c r="A44" s="12" t="s">
        <v>147</v>
      </c>
      <c r="B44" s="12" t="s">
        <v>143</v>
      </c>
      <c r="C44" s="13" t="s">
        <v>144</v>
      </c>
      <c r="D44" s="13" t="s">
        <v>148</v>
      </c>
      <c r="E44" s="20" t="n">
        <v>3</v>
      </c>
      <c r="F44" s="12" t="s">
        <v>41</v>
      </c>
      <c r="G44" s="12" t="s">
        <v>149</v>
      </c>
      <c r="H44" s="13" t="s">
        <v>195</v>
      </c>
      <c r="I44" s="20" t="n">
        <v>3</v>
      </c>
      <c r="J44" s="12" t="n">
        <f aca="false">E44*I44</f>
        <v>9</v>
      </c>
      <c r="K44" s="12" t="n">
        <f aca="false">E44*3</f>
        <v>9</v>
      </c>
    </row>
    <row r="45" customFormat="false" ht="54" hidden="false" customHeight="true" outlineLevel="0" collapsed="false">
      <c r="A45" s="12" t="s">
        <v>150</v>
      </c>
      <c r="B45" s="12" t="s">
        <v>143</v>
      </c>
      <c r="C45" s="13" t="s">
        <v>151</v>
      </c>
      <c r="D45" s="13" t="s">
        <v>152</v>
      </c>
      <c r="E45" s="20" t="n">
        <v>1</v>
      </c>
      <c r="F45" s="12" t="s">
        <v>41</v>
      </c>
      <c r="G45" s="12" t="s">
        <v>135</v>
      </c>
      <c r="H45" s="13" t="s">
        <v>196</v>
      </c>
      <c r="I45" s="20" t="n">
        <v>0</v>
      </c>
      <c r="J45" s="12" t="n">
        <f aca="false">E45*I45</f>
        <v>0</v>
      </c>
      <c r="K45" s="12" t="n">
        <f aca="false">E45*3</f>
        <v>3</v>
      </c>
    </row>
  </sheetData>
  <mergeCells count="8">
    <mergeCell ref="A5:C5"/>
    <mergeCell ref="A6:C6"/>
    <mergeCell ref="A7:C7"/>
    <mergeCell ref="A8:C8"/>
    <mergeCell ref="A9:C9"/>
    <mergeCell ref="A10:C10"/>
    <mergeCell ref="A11:C11"/>
    <mergeCell ref="A13:C13"/>
  </mergeCells>
  <conditionalFormatting sqref="D8">
    <cfRule type="cellIs" priority="2" operator="equal" aboveAverage="0" equalAverage="0" bottom="0" percent="0" rank="0" text="" dxfId="0">
      <formula>"Low"</formula>
    </cfRule>
    <cfRule type="cellIs" priority="3" operator="equal" aboveAverage="0" equalAverage="0" bottom="0" percent="0" rank="0" text="" dxfId="1">
      <formula>"Medium"</formula>
    </cfRule>
    <cfRule type="cellIs" priority="4" operator="equal" aboveAverage="0" equalAverage="0" bottom="0" percent="0" rank="0" text="" dxfId="2">
      <formula>"High"</formula>
    </cfRule>
  </conditionalFormatting>
  <conditionalFormatting sqref="D10">
    <cfRule type="cellIs" priority="5" operator="equal" aboveAverage="0" equalAverage="0" bottom="0" percent="0" rank="0" text="" dxfId="0">
      <formula>"Low"</formula>
    </cfRule>
    <cfRule type="cellIs" priority="6" operator="equal" aboveAverage="0" equalAverage="0" bottom="0" percent="0" rank="0" text="" dxfId="1">
      <formula>"Medium"</formula>
    </cfRule>
    <cfRule type="cellIs" priority="7" operator="equal" aboveAverage="0" equalAverage="0" bottom="0" percent="0" rank="0" text="" dxfId="2">
      <formula>"High"</formula>
    </cfRule>
  </conditionalFormatting>
  <conditionalFormatting sqref="I16:I45">
    <cfRule type="cellIs" priority="8" operator="equal" aboveAverage="0" equalAverage="0" bottom="0" percent="0" rank="0" text="" dxfId="2">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6"/>
    <col collapsed="false" customWidth="true" hidden="false" outlineLevel="0" max="5" min="4" style="0" width="12"/>
  </cols>
  <sheetData>
    <row r="1" customFormat="false" ht="17.35" hidden="false" customHeight="false" outlineLevel="0" collapsed="false">
      <c r="A1" s="1" t="s">
        <v>197</v>
      </c>
    </row>
    <row r="3" customFormat="false" ht="31.5" hidden="false" customHeight="true" outlineLevel="0" collapsed="false">
      <c r="A3" s="3" t="s">
        <v>198</v>
      </c>
      <c r="B3" s="3" t="s">
        <v>165</v>
      </c>
      <c r="C3" s="3" t="s">
        <v>166</v>
      </c>
      <c r="D3" s="3" t="s">
        <v>199</v>
      </c>
      <c r="E3" s="3" t="s">
        <v>13</v>
      </c>
    </row>
    <row r="4" customFormat="false" ht="15" hidden="false" customHeight="false" outlineLevel="0" collapsed="false">
      <c r="A4" s="21" t="s">
        <v>38</v>
      </c>
      <c r="B4" s="22" t="n">
        <f aca="false">SUMIF(Assessment!$B$16:$B$45,A4,Assessment!$J$16:$J$45)</f>
        <v>16</v>
      </c>
      <c r="C4" s="22" t="n">
        <f aca="false">SUMIF(Assessment!$B$16:$B$45,A4,Assessment!$K$16:$K$45)</f>
        <v>36</v>
      </c>
      <c r="D4" s="23" t="n">
        <f aca="false">B4/C4</f>
        <v>0.444444444444444</v>
      </c>
      <c r="E4" s="24" t="str">
        <f aca="false">IF(D4&gt;Rubric!$B$18,"High",IF(D4&gt;Rubric!$B$17,"Medium","Low"))</f>
        <v>Medium</v>
      </c>
    </row>
    <row r="5" customFormat="false" ht="15" hidden="false" customHeight="false" outlineLevel="0" collapsed="false">
      <c r="A5" s="21" t="s">
        <v>60</v>
      </c>
      <c r="B5" s="22" t="n">
        <f aca="false">SUMIF(Assessment!$B$16:$B$45,A5,Assessment!$J$16:$J$45)</f>
        <v>12</v>
      </c>
      <c r="C5" s="22" t="n">
        <f aca="false">SUMIF(Assessment!$B$16:$B$45,A5,Assessment!$K$16:$K$45)</f>
        <v>27</v>
      </c>
      <c r="D5" s="23" t="n">
        <f aca="false">B5/C5</f>
        <v>0.444444444444444</v>
      </c>
      <c r="E5" s="24" t="str">
        <f aca="false">IF(D5&gt;Rubric!$B$18,"High",IF(D5&gt;Rubric!$B$17,"Medium","Low"))</f>
        <v>Medium</v>
      </c>
    </row>
    <row r="6" customFormat="false" ht="15" hidden="false" customHeight="false" outlineLevel="0" collapsed="false">
      <c r="A6" s="21" t="s">
        <v>76</v>
      </c>
      <c r="B6" s="22" t="n">
        <f aca="false">SUMIF(Assessment!$B$16:$B$45,A6,Assessment!$J$16:$J$45)</f>
        <v>24</v>
      </c>
      <c r="C6" s="22" t="n">
        <f aca="false">SUMIF(Assessment!$B$16:$B$45,A6,Assessment!$K$16:$K$45)</f>
        <v>75</v>
      </c>
      <c r="D6" s="23" t="n">
        <f aca="false">B6/C6</f>
        <v>0.32</v>
      </c>
      <c r="E6" s="24" t="str">
        <f aca="false">IF(D6&gt;Rubric!$B$18,"High",IF(D6&gt;Rubric!$B$17,"Medium","Low"))</f>
        <v>Medium</v>
      </c>
    </row>
    <row r="7" customFormat="false" ht="15" hidden="false" customHeight="false" outlineLevel="0" collapsed="false">
      <c r="A7" s="21" t="s">
        <v>116</v>
      </c>
      <c r="B7" s="22" t="n">
        <f aca="false">SUMIF(Assessment!$B$16:$B$45,A7,Assessment!$J$16:$J$45)</f>
        <v>12</v>
      </c>
      <c r="C7" s="22" t="n">
        <f aca="false">SUMIF(Assessment!$B$16:$B$45,A7,Assessment!$K$16:$K$45)</f>
        <v>21</v>
      </c>
      <c r="D7" s="23" t="n">
        <f aca="false">B7/C7</f>
        <v>0.571428571428571</v>
      </c>
      <c r="E7" s="24" t="str">
        <f aca="false">IF(D7&gt;Rubric!$B$18,"High",IF(D7&gt;Rubric!$B$17,"Medium","Low"))</f>
        <v>High</v>
      </c>
    </row>
    <row r="8" customFormat="false" ht="15" hidden="false" customHeight="false" outlineLevel="0" collapsed="false">
      <c r="A8" s="21" t="s">
        <v>128</v>
      </c>
      <c r="B8" s="22" t="n">
        <f aca="false">SUMIF(Assessment!$B$16:$B$45,A8,Assessment!$J$16:$J$45)</f>
        <v>19</v>
      </c>
      <c r="C8" s="22" t="n">
        <f aca="false">SUMIF(Assessment!$B$16:$B$45,A8,Assessment!$K$16:$K$45)</f>
        <v>30</v>
      </c>
      <c r="D8" s="23" t="n">
        <f aca="false">B8/C8</f>
        <v>0.633333333333333</v>
      </c>
      <c r="E8" s="24" t="str">
        <f aca="false">IF(D8&gt;Rubric!$B$18,"High",IF(D8&gt;Rubric!$B$17,"Medium","Low"))</f>
        <v>High</v>
      </c>
    </row>
    <row r="9" customFormat="false" ht="15" hidden="false" customHeight="false" outlineLevel="0" collapsed="false">
      <c r="A9" s="21" t="s">
        <v>143</v>
      </c>
      <c r="B9" s="22" t="n">
        <f aca="false">SUMIF(Assessment!$B$16:$B$45,A9,Assessment!$J$16:$J$45)</f>
        <v>11</v>
      </c>
      <c r="C9" s="22" t="n">
        <f aca="false">SUMIF(Assessment!$B$16:$B$45,A9,Assessment!$K$16:$K$45)</f>
        <v>18</v>
      </c>
      <c r="D9" s="23" t="n">
        <f aca="false">B9/C9</f>
        <v>0.611111111111111</v>
      </c>
      <c r="E9" s="24" t="str">
        <f aca="false">IF(D9&gt;Rubric!$B$18,"High",IF(D9&gt;Rubric!$B$17,"Medium","Low"))</f>
        <v>High</v>
      </c>
    </row>
    <row r="10" customFormat="false" ht="15" hidden="false" customHeight="false" outlineLevel="0" collapsed="false">
      <c r="A10" s="2" t="s">
        <v>200</v>
      </c>
      <c r="B10" s="2" t="n">
        <f aca="false">SUM(B4:B9)</f>
        <v>94</v>
      </c>
      <c r="C10" s="2" t="n">
        <f aca="false">SUM(C4:C9)</f>
        <v>207</v>
      </c>
      <c r="D10" s="25" t="n">
        <f aca="false">B10/C10</f>
        <v>0.454106280193237</v>
      </c>
      <c r="E10" s="2" t="str">
        <f aca="false">IF(D10&gt;Rubric!$B$18,"High",IF(D10&gt;Rubric!$B$17,"Medium","Low"))</f>
        <v>Medium</v>
      </c>
    </row>
  </sheetData>
  <conditionalFormatting sqref="E4:E10">
    <cfRule type="cellIs" priority="2" operator="equal" aboveAverage="0" equalAverage="0" bottom="0" percent="0" rank="0" text="" dxfId="0">
      <formula>"Low"</formula>
    </cfRule>
    <cfRule type="cellIs" priority="3" operator="equal" aboveAverage="0" equalAverage="0" bottom="0" percent="0" rank="0" text="" dxfId="1">
      <formula>"Medium"</formula>
    </cfRule>
    <cfRule type="cellIs" priority="4" operator="equal" aboveAverage="0" equalAverage="0" bottom="0" percent="0" rank="0" text="" dxfId="2">
      <formula>"High"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52"/>
    <col collapsed="false" customWidth="true" hidden="false" outlineLevel="0" max="4" min="4" style="0" width="22"/>
    <col collapsed="false" customWidth="true" hidden="false" outlineLevel="0" max="5" min="5" style="0" width="12"/>
  </cols>
  <sheetData>
    <row r="1" customFormat="false" ht="17.35" hidden="false" customHeight="false" outlineLevel="0" collapsed="false">
      <c r="A1" s="1" t="s">
        <v>201</v>
      </c>
    </row>
    <row r="2" customFormat="false" ht="15" hidden="false" customHeight="false" outlineLevel="0" collapsed="false">
      <c r="A2" s="11" t="s">
        <v>202</v>
      </c>
    </row>
    <row r="4" customFormat="false" ht="31.5" hidden="false" customHeight="true" outlineLevel="0" collapsed="false">
      <c r="A4" s="3" t="s">
        <v>28</v>
      </c>
      <c r="B4" s="3" t="s">
        <v>203</v>
      </c>
      <c r="C4" s="3" t="s">
        <v>204</v>
      </c>
      <c r="D4" s="3" t="s">
        <v>205</v>
      </c>
      <c r="E4" s="3" t="s">
        <v>206</v>
      </c>
    </row>
    <row r="5" customFormat="false" ht="55.5" hidden="false" customHeight="true" outlineLevel="0" collapsed="false">
      <c r="A5" s="12" t="s">
        <v>207</v>
      </c>
      <c r="B5" s="13" t="s">
        <v>208</v>
      </c>
      <c r="C5" s="13" t="s">
        <v>209</v>
      </c>
      <c r="D5" s="13" t="s">
        <v>210</v>
      </c>
      <c r="E5" s="12" t="s">
        <v>211</v>
      </c>
    </row>
    <row r="6" customFormat="false" ht="55.5" hidden="false" customHeight="true" outlineLevel="0" collapsed="false">
      <c r="A6" s="12" t="s">
        <v>212</v>
      </c>
      <c r="B6" s="13" t="s">
        <v>213</v>
      </c>
      <c r="C6" s="13" t="s">
        <v>214</v>
      </c>
      <c r="D6" s="13" t="s">
        <v>51</v>
      </c>
      <c r="E6" s="12" t="s">
        <v>211</v>
      </c>
    </row>
    <row r="7" customFormat="false" ht="55.5" hidden="false" customHeight="true" outlineLevel="0" collapsed="false">
      <c r="A7" s="12" t="s">
        <v>215</v>
      </c>
      <c r="B7" s="13" t="s">
        <v>216</v>
      </c>
      <c r="C7" s="13" t="s">
        <v>217</v>
      </c>
      <c r="D7" s="13" t="s">
        <v>218</v>
      </c>
      <c r="E7" s="12" t="s">
        <v>211</v>
      </c>
    </row>
    <row r="8" customFormat="false" ht="55.5" hidden="false" customHeight="true" outlineLevel="0" collapsed="false">
      <c r="A8" s="12" t="s">
        <v>219</v>
      </c>
      <c r="B8" s="13" t="s">
        <v>220</v>
      </c>
      <c r="C8" s="13" t="s">
        <v>221</v>
      </c>
      <c r="D8" s="13" t="s">
        <v>112</v>
      </c>
      <c r="E8" s="12" t="s">
        <v>211</v>
      </c>
    </row>
    <row r="9" customFormat="false" ht="55.5" hidden="false" customHeight="true" outlineLevel="0" collapsed="false">
      <c r="A9" s="12" t="s">
        <v>222</v>
      </c>
      <c r="B9" s="13" t="s">
        <v>223</v>
      </c>
      <c r="C9" s="13" t="s">
        <v>224</v>
      </c>
      <c r="D9" s="13" t="s">
        <v>47</v>
      </c>
      <c r="E9" s="12" t="s">
        <v>211</v>
      </c>
    </row>
    <row r="10" customFormat="false" ht="55.5" hidden="false" customHeight="true" outlineLevel="0" collapsed="false">
      <c r="A10" s="12" t="s">
        <v>225</v>
      </c>
      <c r="B10" s="13" t="s">
        <v>226</v>
      </c>
      <c r="C10" s="13" t="s">
        <v>227</v>
      </c>
      <c r="D10" s="13" t="s">
        <v>228</v>
      </c>
      <c r="E10" s="12" t="s">
        <v>229</v>
      </c>
    </row>
    <row r="11" customFormat="false" ht="55.5" hidden="false" customHeight="true" outlineLevel="0" collapsed="false">
      <c r="A11" s="12" t="s">
        <v>230</v>
      </c>
      <c r="B11" s="13" t="s">
        <v>231</v>
      </c>
      <c r="C11" s="13" t="s">
        <v>232</v>
      </c>
      <c r="D11" s="13" t="s">
        <v>233</v>
      </c>
      <c r="E11" s="12" t="s">
        <v>229</v>
      </c>
    </row>
    <row r="12" customFormat="false" ht="55.5" hidden="false" customHeight="true" outlineLevel="0" collapsed="false">
      <c r="A12" s="12" t="s">
        <v>234</v>
      </c>
      <c r="B12" s="13" t="s">
        <v>235</v>
      </c>
      <c r="C12" s="13" t="s">
        <v>236</v>
      </c>
      <c r="D12" s="13" t="s">
        <v>237</v>
      </c>
      <c r="E12" s="12" t="s">
        <v>229</v>
      </c>
    </row>
    <row r="13" customFormat="false" ht="55.5" hidden="false" customHeight="true" outlineLevel="0" collapsed="false">
      <c r="A13" s="12" t="s">
        <v>238</v>
      </c>
      <c r="B13" s="13" t="s">
        <v>239</v>
      </c>
      <c r="C13" s="13" t="s">
        <v>240</v>
      </c>
      <c r="D13" s="13" t="s">
        <v>241</v>
      </c>
      <c r="E13" s="12" t="s">
        <v>229</v>
      </c>
    </row>
    <row r="14" customFormat="false" ht="55.5" hidden="false" customHeight="true" outlineLevel="0" collapsed="false">
      <c r="A14" s="12" t="s">
        <v>242</v>
      </c>
      <c r="B14" s="13" t="s">
        <v>243</v>
      </c>
      <c r="C14" s="13" t="s">
        <v>244</v>
      </c>
      <c r="D14" s="13" t="s">
        <v>245</v>
      </c>
      <c r="E14" s="12" t="s">
        <v>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2026-10-13T17:59:20Z</dcterms:created>
  <dc:creator>openpyxl</dc:creator>
  <dc:description/>
  <dc:language>en-US</dc:language>
  <cp:lastModifiedBy/>
  <dcterms:modified xsi:type="dcterms:W3CDTF">2026-10-13T17:59:20Z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
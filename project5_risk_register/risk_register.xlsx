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" sheetId="1" state="visible" r:id="rId3"/>
    <sheet name="Method" sheetId="2" state="visible" r:id="rId4"/>
    <sheet name="Heat 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<sst xmlns="http://schemas.openxmlformats.org/spreadsheetml/2006/main" count="236" uniqueCount="185">
  <si>
    <t xml:space="preserve">Risk register: AWS security lab (Projects 3 and 4)</t>
  </si>
  <si>
    <t xml:space="preserve">Built from real lab results on 2026-10-13. Scores are my judgments (see Method). Blue cells are inputs. Ratings recalculate from the bands on the Method sheet.</t>
  </si>
  <si>
    <t xml:space="preserve">ID</t>
  </si>
  <si>
    <t xml:space="preserve">Asset</t>
  </si>
  <si>
    <t xml:space="preserve">Risk</t>
  </si>
  <si>
    <t xml:space="preserve">Evidence from the lab</t>
  </si>
  <si>
    <t xml:space="preserve">Likelihood (1 to 5)</t>
  </si>
  <si>
    <t xml:space="preserve">Impact (1 to 5)</t>
  </si>
  <si>
    <t xml:space="preserve">Inherent score</t>
  </si>
  <si>
    <t xml:space="preserve">Inherent rating</t>
  </si>
  <si>
    <t xml:space="preserve">CSF 2.0 function</t>
  </si>
  <si>
    <t xml:space="preserve">CSF 2.0 category</t>
  </si>
  <si>
    <t xml:space="preserve">NIST 800-53 controls</t>
  </si>
  <si>
    <t xml:space="preserve">Treatment</t>
  </si>
  <si>
    <t xml:space="preserve">Treatment plan and reason</t>
  </si>
  <si>
    <t xml:space="preserve">Control status</t>
  </si>
  <si>
    <t xml:space="preserve">Owner</t>
  </si>
  <si>
    <t xml:space="preserve">Target likelihood</t>
  </si>
  <si>
    <t xml:space="preserve">Target impact</t>
  </si>
  <si>
    <t xml:space="preserve">Target score</t>
  </si>
  <si>
    <t xml:space="preserve">Target rating</t>
  </si>
  <si>
    <t xml:space="preserve">R01</t>
  </si>
  <si>
    <t xml:space="preserve">AWS lab account: S3 bucket</t>
  </si>
  <si>
    <t xml:space="preserve">A misconfiguration makes the bucket public and exposes its contents to anyone on the internet.</t>
  </si>
  <si>
    <t xml:space="preserve">Project 3: S3 Block Public Access was on for all four settings; an attempt to attach a public read policy was refused with AccessDenied and logged by CloudTrail as PutBucketPolicy.</t>
  </si>
  <si>
    <t xml:space="preserve">PROTECT</t>
  </si>
  <si>
    <t xml:space="preserve">PR.DS Data Security</t>
  </si>
  <si>
    <t xml:space="preserve">AC-3, AC-6, SC-7</t>
  </si>
  <si>
    <t xml:space="preserve">Reduce</t>
  </si>
  <si>
    <t xml:space="preserve">Keep all four Block Public Access settings on at the account and bucket level. They sit above bucket policies and ACLs, so a bad policy cannot override them.</t>
  </si>
  <si>
    <t xml:space="preserve">Implemented and tested in lab</t>
  </si>
  <si>
    <t xml:space="preserve">Lab owner</t>
  </si>
  <si>
    <t xml:space="preserve">R02</t>
  </si>
  <si>
    <t xml:space="preserve">IAM users: console sign in</t>
  </si>
  <si>
    <t xml:space="preserve">A console user without MFA is phished or password sprayed and the attacker signs in as that user.</t>
  </si>
  <si>
    <t xml:space="preserve">Project 4: the access review flagged test user ar-test-nomfa as High (console password enabled, no MFA device).</t>
  </si>
  <si>
    <t xml:space="preserve">PR.AA Identity Management, Authentication and Access Control</t>
  </si>
  <si>
    <t xml:space="preserve">IA-2(1), IA-2(2), AC-2</t>
  </si>
  <si>
    <t xml:space="preserve">Require MFA with a deny policy that allows only MFA setup until MFA is present. It was proven in the policy simulator. Apply it to every console user before any real use.</t>
  </si>
  <si>
    <t xml:space="preserve">Tested in simulator on a test user, not yet applied to real users</t>
  </si>
  <si>
    <t xml:space="preserve">R03</t>
  </si>
  <si>
    <t xml:space="preserve">IAM policies</t>
  </si>
  <si>
    <t xml:space="preserve">A user is given broader permissions than the job needs and reads or changes data it should not touch.</t>
  </si>
  <si>
    <t xml:space="preserve">Project 3: a least privilege policy passed IAM Access Analyzer with zero findings. In the policy simulator 4 of 6 test actions were implicit denies without a single deny statement.</t>
  </si>
  <si>
    <t xml:space="preserve">AC-6, AC-3</t>
  </si>
  <si>
    <t xml:space="preserve">Write policies from the job outward, allow only listed actions and resources, and run Access Analyzer and the simulator before attaching.</t>
  </si>
  <si>
    <t xml:space="preserve">R04</t>
  </si>
  <si>
    <t xml:space="preserve">IAM access keys</t>
  </si>
  <si>
    <t xml:space="preserve">A long lived access key goes unused or stale, stays active, and is later leaked or reused by an attacker.</t>
  </si>
  <si>
    <t xml:space="preserve">Project 4: with a simulated review date 99 days out, the review flagged ar-test-key twice (stale key over 90 days, key never used). That run used a simulated date and is labeled that way.</t>
  </si>
  <si>
    <t xml:space="preserve">IA-5, AC-2, AC-2(3)</t>
  </si>
  <si>
    <t xml:space="preserve">Run the access review on a schedule, disable keys over 90 days or never used, and prefer roles over long lived keys.</t>
  </si>
  <si>
    <t xml:space="preserve">Detection built (audit_iam.py); disabling is a manual step</t>
  </si>
  <si>
    <t xml:space="preserve">R05</t>
  </si>
  <si>
    <t xml:space="preserve">Screenshots, posts and repo</t>
  </si>
  <si>
    <t xml:space="preserve">An AWS account ID, key, email or other sensitive value is published in a screenshot, video or repo file.</t>
  </si>
  <si>
    <t xml:space="preserve">Projects 3 and 4: ground rule to blur the account ID, keys and email before posting; audit_iam.py never prints the account ID; key output was discarded in the runbook commands.</t>
  </si>
  <si>
    <t xml:space="preserve">AC-22, AT-2</t>
  </si>
  <si>
    <t xml:space="preserve">Use a pre post checklist, discard secret output in commands, and check every screenshot before it leaves the machine.</t>
  </si>
  <si>
    <t xml:space="preserve">Implemented as a manual checklist</t>
  </si>
  <si>
    <t xml:space="preserve">R06</t>
  </si>
  <si>
    <t xml:space="preserve">AWS root account</t>
  </si>
  <si>
    <t xml:space="preserve">The root user is taken over because it lacks MFA or has access keys.</t>
  </si>
  <si>
    <t xml:space="preserve">Project 4: the baseline run reported zero findings, including the two root account checks (no MFA and root access key). This is the script's result; I did not verify root settings any other way.</t>
  </si>
  <si>
    <t xml:space="preserve">AC-6, IA-2(1), AC-2</t>
  </si>
  <si>
    <t xml:space="preserve">Keep MFA on root, keep root access keys deleted, use root only when a task requires it, and re run the review each cycle.</t>
  </si>
  <si>
    <t xml:space="preserve">Implemented; checked by audit_iam.py</t>
  </si>
  <si>
    <t xml:space="preserve">R07</t>
  </si>
  <si>
    <t xml:space="preserve">Lab data and employer systems</t>
  </si>
  <si>
    <t xml:space="preserve">Real employer, client or production data ends up in a personal lab account.</t>
  </si>
  <si>
    <t xml:space="preserve">Projects 3 and 4: every dataset was test data created for the lab. The README for each project states the scope.</t>
  </si>
  <si>
    <t xml:space="preserve">IDENTIFY</t>
  </si>
  <si>
    <t xml:space="preserve">ID.AM Asset Management</t>
  </si>
  <si>
    <t xml:space="preserve">RA-2, AC-22</t>
  </si>
  <si>
    <t xml:space="preserve">Avoid</t>
  </si>
  <si>
    <t xml:space="preserve">Do not use real data in the lab at all. Test files and invented sample data only, and label invented data SYNTHETIC.</t>
  </si>
  <si>
    <t xml:space="preserve">Implemented as a rule</t>
  </si>
  <si>
    <t xml:space="preserve">R08</t>
  </si>
  <si>
    <t xml:space="preserve">S3 Block Public Access setting</t>
  </si>
  <si>
    <t xml:space="preserve">Someone, including me, switches Block Public Access off by mistake and the change goes unnoticed.</t>
  </si>
  <si>
    <t xml:space="preserve">Project 3: I switched all four settings off and back on in the lab, which showed how quick the change is in the console.</t>
  </si>
  <si>
    <t xml:space="preserve">DETECT</t>
  </si>
  <si>
    <t xml:space="preserve">DE.CM Continuous Monitoring</t>
  </si>
  <si>
    <t xml:space="preserve">CM-6, SI-4</t>
  </si>
  <si>
    <t xml:space="preserve">Add a detective control for changes to the public access block setting, such as an AWS Config rule or a CloudTrail based alarm.</t>
  </si>
  <si>
    <t xml:space="preserve">Planned, not built</t>
  </si>
  <si>
    <t xml:space="preserve">R09</t>
  </si>
  <si>
    <t xml:space="preserve">CloudTrail logs</t>
  </si>
  <si>
    <t xml:space="preserve">Logging is turned off or logs are altered, so a later incident cannot be investigated.</t>
  </si>
  <si>
    <t xml:space="preserve">Project 3: CloudTrail recorded the refused PutBucketPolicy attempt with the error AccessDenied, which shows logging works today.</t>
  </si>
  <si>
    <t xml:space="preserve">PR.PS Platform Security</t>
  </si>
  <si>
    <t xml:space="preserve">AU-2, AU-9</t>
  </si>
  <si>
    <t xml:space="preserve">Keep the trail on, send logs to a separate protected bucket, and turn on log file validation.</t>
  </si>
  <si>
    <t xml:space="preserve">Trail working; separate bucket and validation planned</t>
  </si>
  <si>
    <t xml:space="preserve">R10</t>
  </si>
  <si>
    <t xml:space="preserve">Security logs</t>
  </si>
  <si>
    <t xml:space="preserve">Logs exist but nobody reads them, so a real attack is missed.</t>
  </si>
  <si>
    <t xml:space="preserve">Project 3: CloudTrail recorded the refused PutBucketPolicy attempt, but a log only helps if someone reads it.</t>
  </si>
  <si>
    <t xml:space="preserve">DE.AE Adverse Event Analysis</t>
  </si>
  <si>
    <t xml:space="preserve">AU-6, SI-4</t>
  </si>
  <si>
    <t xml:space="preserve">Set a review cadence and an alarm for the highest value events such as root sign in, failed policy changes and IAM changes.</t>
  </si>
  <si>
    <t xml:space="preserve">R11</t>
  </si>
  <si>
    <t xml:space="preserve">MFA required policy</t>
  </si>
  <si>
    <t xml:space="preserve">The MFA deny policy blocks a non human user whose only credential is a long term access key, and an automated job fails.</t>
  </si>
  <si>
    <t xml:space="preserve">Project 4: the simulator test with no MFA information at all returned explicitDeny, because the policy uses BoolIfExists.</t>
  </si>
  <si>
    <t xml:space="preserve">AC-2, CM-3</t>
  </si>
  <si>
    <t xml:space="preserve">Attach the policy to a group for human users only and move automation to roles with temporary credentials. Test in the simulator before attaching to anyone.</t>
  </si>
  <si>
    <t xml:space="preserve">Known limit documented in the Project 4 README</t>
  </si>
  <si>
    <t xml:space="preserve">R12</t>
  </si>
  <si>
    <t xml:space="preserve">Test users and policies</t>
  </si>
  <si>
    <t xml:space="preserve">Test users, passwords or keys are left behind after a lab and widen the attack surface.</t>
  </si>
  <si>
    <t xml:space="preserve">Project 4: cleanup commands removed both test users, their key and the lab policy, and the list commands afterward printed nothing.</t>
  </si>
  <si>
    <t xml:space="preserve">CM-8, AC-2</t>
  </si>
  <si>
    <t xml:space="preserve">Write the cleanup commands before building, run them when the lab ends, and verify with list commands.</t>
  </si>
  <si>
    <t xml:space="preserve">Implemented and verified for Project 4</t>
  </si>
  <si>
    <t xml:space="preserve">R13</t>
  </si>
  <si>
    <t xml:space="preserve">Access review process</t>
  </si>
  <si>
    <t xml:space="preserve">The review misses new users because IAM serves a cached credential report for up to four hours.</t>
  </si>
  <si>
    <t xml:space="preserve">Project 4: my first re run after creating the test users still showed the old two users. I added a fresh mode that reads live IAM data.</t>
  </si>
  <si>
    <t xml:space="preserve">ID.RA Risk Assessment</t>
  </si>
  <si>
    <t xml:space="preserve">CA-7, AC-2</t>
  </si>
  <si>
    <t xml:space="preserve">Use the fresh mode when users changed recently, and say which mode produced the evidence.</t>
  </si>
  <si>
    <t xml:space="preserve">Implemented in audit_iam.py</t>
  </si>
  <si>
    <t xml:space="preserve">R14</t>
  </si>
  <si>
    <t xml:space="preserve">Lab operations</t>
  </si>
  <si>
    <t xml:space="preserve">One person builds, runs and reviews everything, so mistakes are not caught by a second set of eyes.</t>
  </si>
  <si>
    <t xml:space="preserve">Projects 3 and 4: one operator for every step. Evidence was captured from real output so a reader can check it.</t>
  </si>
  <si>
    <t xml:space="preserve">GOVERN</t>
  </si>
  <si>
    <t xml:space="preserve">GV.RR Roles, Responsibilities and Authorities</t>
  </si>
  <si>
    <t xml:space="preserve">AC-5</t>
  </si>
  <si>
    <t xml:space="preserve">Accept</t>
  </si>
  <si>
    <t xml:space="preserve">Accepted for a personal lab. Compensate by keeping evidence, publishing the method and inviting outside review. A real program would split build and review duties.</t>
  </si>
  <si>
    <t xml:space="preserve">Accepted</t>
  </si>
  <si>
    <t xml:space="preserve">Summary</t>
  </si>
  <si>
    <t xml:space="preserve">Count by rating</t>
  </si>
  <si>
    <t xml:space="preserve">Inherent</t>
  </si>
  <si>
    <t xml:space="preserve">Target</t>
  </si>
  <si>
    <t xml:space="preserve">Critical</t>
  </si>
  <si>
    <t xml:space="preserve">High</t>
  </si>
  <si>
    <t xml:space="preserve">Medium</t>
  </si>
  <si>
    <t xml:space="preserve">Low</t>
  </si>
  <si>
    <t xml:space="preserve">Total risks</t>
  </si>
  <si>
    <t xml:space="preserve">Treatment count</t>
  </si>
  <si>
    <t xml:space="preserve">Transfer</t>
  </si>
  <si>
    <t xml:space="preserve">Method and scales</t>
  </si>
  <si>
    <t xml:space="preserve">Likelihood scale (1 to 5)</t>
  </si>
  <si>
    <t xml:space="preserve">Rare</t>
  </si>
  <si>
    <t xml:space="preserve">Would need an unusual combination of events in this lab</t>
  </si>
  <si>
    <t xml:space="preserve">Unlikely</t>
  </si>
  <si>
    <t xml:space="preserve">Possible but not expected in a year</t>
  </si>
  <si>
    <t xml:space="preserve">Possible</t>
  </si>
  <si>
    <t xml:space="preserve">Could happen in a year with ordinary mistakes</t>
  </si>
  <si>
    <t xml:space="preserve">Likely</t>
  </si>
  <si>
    <t xml:space="preserve">Expected to happen during a year</t>
  </si>
  <si>
    <t xml:space="preserve">Almost certain</t>
  </si>
  <si>
    <t xml:space="preserve">Happens repeatedly</t>
  </si>
  <si>
    <t xml:space="preserve">Impact scale (1 to 5)</t>
  </si>
  <si>
    <t xml:space="preserve">Minimal</t>
  </si>
  <si>
    <t xml:space="preserve">No lasting effect, easy to redo</t>
  </si>
  <si>
    <t xml:space="preserve">Minor</t>
  </si>
  <si>
    <t xml:space="preserve">Some rework or a short delay</t>
  </si>
  <si>
    <t xml:space="preserve">Moderate</t>
  </si>
  <si>
    <t xml:space="preserve">Lab data or a project is lost or a job fails</t>
  </si>
  <si>
    <t xml:space="preserve">Major</t>
  </si>
  <si>
    <t xml:space="preserve">Credentials or private data exposed in the lab</t>
  </si>
  <si>
    <t xml:space="preserve">Severe</t>
  </si>
  <si>
    <t xml:space="preserve">Full account exposure or public data exposure</t>
  </si>
  <si>
    <t xml:space="preserve">Rating bands (score = likelihood x impact)</t>
  </si>
  <si>
    <t xml:space="preserve">Band</t>
  </si>
  <si>
    <t xml:space="preserve">Highest score in band</t>
  </si>
  <si>
    <t xml:space="preserve">Notes and assumptions</t>
  </si>
  <si>
    <t xml:space="preserve">1. Scope: one personal AWS lab account used in Projects 3 and 4. No production systems, no employer data.</t>
  </si>
  <si>
    <t xml:space="preserve">2. Likelihood and impact are my own judgments for a single owner lab. They are not measured values.</t>
  </si>
  <si>
    <t xml:space="preserve">3. Evidence comes from the real runs of Projects 3 and 4. Anything marked planned has not been built.</t>
  </si>
  <si>
    <t xml:space="preserve">4. Target score is the score I expect after the treatment is in place. It is an estimate, not a test result.</t>
  </si>
  <si>
    <t xml:space="preserve">5. Owner is the lab owner for every risk because one person runs this lab.</t>
  </si>
  <si>
    <t xml:space="preserve">6. Blue cells are inputs you can change. Scores, ratings and the heat map counts recalculate.</t>
  </si>
  <si>
    <t xml:space="preserve">7. Transfer is not used. A personal lab has no third party to carry the risk.</t>
  </si>
  <si>
    <t xml:space="preserve">8. Control mappings are my study mappings to NIST CSF 2.0 and SP 800-53 Rev. 5, not an official crosswalk.</t>
  </si>
  <si>
    <t xml:space="preserve">Likelihood by impact heat map (counts of risks per cell)</t>
  </si>
  <si>
    <t xml:space="preserve">Inherent (before treatment)</t>
  </si>
  <si>
    <t xml:space="preserve">Target (after planned treatment)</t>
  </si>
  <si>
    <t xml:space="preserve">Impact</t>
  </si>
  <si>
    <t xml:space="preserve">Likelihood</t>
  </si>
  <si>
    <t xml:space="preserve">Cell colours follow the fixed bands on the Method sheet: Low up to 4, Medium up to 9, High up to 14, Critical 15 and above. If you change a band limit on the Method sheet, update the fills as well.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</si>
</sst>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FFFCC"/>
      </patternFill>
    </fill>
    <fill>
      <patternFill patternType="solid">
        <fgColor rgb="FFF4B183"/>
        <bgColor rgb="FFFF99CC"/>
      </patternFill>
    </fill>
    <fill>
      <patternFill patternType="solid">
        <fgColor rgb="FFE06666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ill>
        <patternFill>
          <bgColor rgb="FFE0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48"/>
    <col collapsed="false" customWidth="true" hidden="false" outlineLevel="0" max="14" min="14" style="0" width="28"/>
    <col collapsed="false" customWidth="true" hidden="false" outlineLevel="0" max="16" min="15" style="0" width="10"/>
    <col collapsed="false" customWidth="true" hidden="false" outlineLevel="0" max="18" min="17" style="0" width="9"/>
    <col collapsed="false" customWidth="true" hidden="false" outlineLevel="0" max="19" min="1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67.5" hidden="false" customHeight="true" outlineLevel="0" collapsed="false">
      <c r="A5" s="4" t="s">
        <v>21</v>
      </c>
      <c r="B5" s="5" t="s">
        <v>22</v>
      </c>
      <c r="C5" s="5" t="s">
        <v>23</v>
      </c>
      <c r="D5" s="5" t="s">
        <v>24</v>
      </c>
      <c r="E5" s="6" t="n">
        <v>3</v>
      </c>
      <c r="F5" s="6" t="n">
        <v>5</v>
      </c>
      <c r="G5" s="4" t="n">
        <f aca="false">E5*F5</f>
        <v>15</v>
      </c>
      <c r="H5" s="4" t="str">
        <f aca="false">IF(G5&gt;Method!$B$21,"Critical",IF(G5&gt;Method!$B$20,"High",IF(G5&gt;Method!$B$19,"Medium","Low")))</f>
        <v>Critical</v>
      </c>
      <c r="I5" s="4" t="s">
        <v>25</v>
      </c>
      <c r="J5" s="5" t="s">
        <v>26</v>
      </c>
      <c r="K5" s="5" t="s">
        <v>27</v>
      </c>
      <c r="L5" s="4" t="s">
        <v>28</v>
      </c>
      <c r="M5" s="5" t="s">
        <v>29</v>
      </c>
      <c r="N5" s="5" t="s">
        <v>30</v>
      </c>
      <c r="O5" s="4" t="s">
        <v>31</v>
      </c>
      <c r="P5" s="6" t="n">
        <v>1</v>
      </c>
      <c r="Q5" s="6" t="n">
        <v>5</v>
      </c>
      <c r="R5" s="4" t="n">
        <f aca="false">P5*Q5</f>
        <v>5</v>
      </c>
      <c r="S5" s="4" t="str">
        <f aca="false">IF(R5&gt;Method!$B$21,"Critical",IF(R5&gt;Method!$B$20,"High",IF(R5&gt;Method!$B$19,"Medium","Low")))</f>
        <v>Medium</v>
      </c>
    </row>
    <row r="6" customFormat="false" ht="67.5" hidden="false" customHeight="true" outlineLevel="0" collapsed="false">
      <c r="A6" s="4" t="s">
        <v>32</v>
      </c>
      <c r="B6" s="5" t="s">
        <v>33</v>
      </c>
      <c r="C6" s="5" t="s">
        <v>34</v>
      </c>
      <c r="D6" s="5" t="s">
        <v>35</v>
      </c>
      <c r="E6" s="6" t="n">
        <v>3</v>
      </c>
      <c r="F6" s="6" t="n">
        <v>4</v>
      </c>
      <c r="G6" s="4" t="n">
        <f aca="false">E6*F6</f>
        <v>12</v>
      </c>
      <c r="H6" s="4" t="str">
        <f aca="false">IF(G6&gt;Method!$B$21,"Critical",IF(G6&gt;Method!$B$20,"High",IF(G6&gt;Method!$B$19,"Medium","Low")))</f>
        <v>High</v>
      </c>
      <c r="I6" s="4" t="s">
        <v>25</v>
      </c>
      <c r="J6" s="5" t="s">
        <v>36</v>
      </c>
      <c r="K6" s="5" t="s">
        <v>37</v>
      </c>
      <c r="L6" s="4" t="s">
        <v>28</v>
      </c>
      <c r="M6" s="5" t="s">
        <v>38</v>
      </c>
      <c r="N6" s="5" t="s">
        <v>39</v>
      </c>
      <c r="O6" s="4" t="s">
        <v>31</v>
      </c>
      <c r="P6" s="6" t="n">
        <v>1</v>
      </c>
      <c r="Q6" s="6" t="n">
        <v>4</v>
      </c>
      <c r="R6" s="4" t="n">
        <f aca="false">P6*Q6</f>
        <v>4</v>
      </c>
      <c r="S6" s="4" t="str">
        <f aca="false">IF(R6&gt;Method!$B$21,"Critical",IF(R6&gt;Method!$B$20,"High",IF(R6&gt;Method!$B$19,"Medium","Low")))</f>
        <v>Low</v>
      </c>
    </row>
    <row r="7" customFormat="false" ht="67.5" hidden="false" customHeight="true" outlineLevel="0" collapsed="false">
      <c r="A7" s="4" t="s">
        <v>40</v>
      </c>
      <c r="B7" s="5" t="s">
        <v>41</v>
      </c>
      <c r="C7" s="5" t="s">
        <v>42</v>
      </c>
      <c r="D7" s="5" t="s">
        <v>43</v>
      </c>
      <c r="E7" s="6" t="n">
        <v>3</v>
      </c>
      <c r="F7" s="6" t="n">
        <v>4</v>
      </c>
      <c r="G7" s="4" t="n">
        <f aca="false">E7*F7</f>
        <v>12</v>
      </c>
      <c r="H7" s="4" t="str">
        <f aca="false">IF(G7&gt;Method!$B$21,"Critical",IF(G7&gt;Method!$B$20,"High",IF(G7&gt;Method!$B$19,"Medium","Low")))</f>
        <v>High</v>
      </c>
      <c r="I7" s="4" t="s">
        <v>25</v>
      </c>
      <c r="J7" s="5" t="s">
        <v>36</v>
      </c>
      <c r="K7" s="5" t="s">
        <v>44</v>
      </c>
      <c r="L7" s="4" t="s">
        <v>28</v>
      </c>
      <c r="M7" s="5" t="s">
        <v>45</v>
      </c>
      <c r="N7" s="5" t="s">
        <v>30</v>
      </c>
      <c r="O7" s="4" t="s">
        <v>31</v>
      </c>
      <c r="P7" s="6" t="n">
        <v>1</v>
      </c>
      <c r="Q7" s="6" t="n">
        <v>4</v>
      </c>
      <c r="R7" s="4" t="n">
        <f aca="false">P7*Q7</f>
        <v>4</v>
      </c>
      <c r="S7" s="4" t="str">
        <f aca="false">IF(R7&gt;Method!$B$21,"Critical",IF(R7&gt;Method!$B$20,"High",IF(R7&gt;Method!$B$19,"Medium","Low")))</f>
        <v>Low</v>
      </c>
    </row>
    <row r="8" customFormat="false" ht="67.5" hidden="false" customHeight="true" outlineLevel="0" collapsed="false">
      <c r="A8" s="4" t="s">
        <v>46</v>
      </c>
      <c r="B8" s="5" t="s">
        <v>47</v>
      </c>
      <c r="C8" s="5" t="s">
        <v>48</v>
      </c>
      <c r="D8" s="5" t="s">
        <v>49</v>
      </c>
      <c r="E8" s="6" t="n">
        <v>3</v>
      </c>
      <c r="F8" s="6" t="n">
        <v>4</v>
      </c>
      <c r="G8" s="4" t="n">
        <f aca="false">E8*F8</f>
        <v>12</v>
      </c>
      <c r="H8" s="4" t="str">
        <f aca="false">IF(G8&gt;Method!$B$21,"Critical",IF(G8&gt;Method!$B$20,"High",IF(G8&gt;Method!$B$19,"Medium","Low")))</f>
        <v>High</v>
      </c>
      <c r="I8" s="4" t="s">
        <v>25</v>
      </c>
      <c r="J8" s="5" t="s">
        <v>36</v>
      </c>
      <c r="K8" s="5" t="s">
        <v>50</v>
      </c>
      <c r="L8" s="4" t="s">
        <v>28</v>
      </c>
      <c r="M8" s="5" t="s">
        <v>51</v>
      </c>
      <c r="N8" s="5" t="s">
        <v>52</v>
      </c>
      <c r="O8" s="4" t="s">
        <v>31</v>
      </c>
      <c r="P8" s="6" t="n">
        <v>2</v>
      </c>
      <c r="Q8" s="6" t="n">
        <v>3</v>
      </c>
      <c r="R8" s="4" t="n">
        <f aca="false">P8*Q8</f>
        <v>6</v>
      </c>
      <c r="S8" s="4" t="str">
        <f aca="false">IF(R8&gt;Method!$B$21,"Critical",IF(R8&gt;Method!$B$20,"High",IF(R8&gt;Method!$B$19,"Medium","Low")))</f>
        <v>Medium</v>
      </c>
    </row>
    <row r="9" customFormat="false" ht="67.5" hidden="false" customHeight="true" outlineLevel="0" collapsed="false">
      <c r="A9" s="4" t="s">
        <v>53</v>
      </c>
      <c r="B9" s="5" t="s">
        <v>54</v>
      </c>
      <c r="C9" s="5" t="s">
        <v>55</v>
      </c>
      <c r="D9" s="5" t="s">
        <v>56</v>
      </c>
      <c r="E9" s="6" t="n">
        <v>3</v>
      </c>
      <c r="F9" s="6" t="n">
        <v>4</v>
      </c>
      <c r="G9" s="4" t="n">
        <f aca="false">E9*F9</f>
        <v>12</v>
      </c>
      <c r="H9" s="4" t="str">
        <f aca="false">IF(G9&gt;Method!$B$21,"Critical",IF(G9&gt;Method!$B$20,"High",IF(G9&gt;Method!$B$19,"Medium","Low")))</f>
        <v>High</v>
      </c>
      <c r="I9" s="4" t="s">
        <v>25</v>
      </c>
      <c r="J9" s="5" t="s">
        <v>26</v>
      </c>
      <c r="K9" s="5" t="s">
        <v>57</v>
      </c>
      <c r="L9" s="4" t="s">
        <v>28</v>
      </c>
      <c r="M9" s="5" t="s">
        <v>58</v>
      </c>
      <c r="N9" s="5" t="s">
        <v>59</v>
      </c>
      <c r="O9" s="4" t="s">
        <v>31</v>
      </c>
      <c r="P9" s="6" t="n">
        <v>1</v>
      </c>
      <c r="Q9" s="6" t="n">
        <v>4</v>
      </c>
      <c r="R9" s="4" t="n">
        <f aca="false">P9*Q9</f>
        <v>4</v>
      </c>
      <c r="S9" s="4" t="str">
        <f aca="false">IF(R9&gt;Method!$B$21,"Critical",IF(R9&gt;Method!$B$20,"High",IF(R9&gt;Method!$B$19,"Medium","Low")))</f>
        <v>Low</v>
      </c>
    </row>
    <row r="10" customFormat="false" ht="67.5" hidden="false" customHeight="true" outlineLevel="0" collapsed="false">
      <c r="A10" s="4" t="s">
        <v>60</v>
      </c>
      <c r="B10" s="5" t="s">
        <v>61</v>
      </c>
      <c r="C10" s="5" t="s">
        <v>62</v>
      </c>
      <c r="D10" s="5" t="s">
        <v>63</v>
      </c>
      <c r="E10" s="6" t="n">
        <v>2</v>
      </c>
      <c r="F10" s="6" t="n">
        <v>5</v>
      </c>
      <c r="G10" s="4" t="n">
        <f aca="false">E10*F10</f>
        <v>10</v>
      </c>
      <c r="H10" s="4" t="str">
        <f aca="false">IF(G10&gt;Method!$B$21,"Critical",IF(G10&gt;Method!$B$20,"High",IF(G10&gt;Method!$B$19,"Medium","Low")))</f>
        <v>High</v>
      </c>
      <c r="I10" s="4" t="s">
        <v>25</v>
      </c>
      <c r="J10" s="5" t="s">
        <v>36</v>
      </c>
      <c r="K10" s="5" t="s">
        <v>64</v>
      </c>
      <c r="L10" s="4" t="s">
        <v>28</v>
      </c>
      <c r="M10" s="5" t="s">
        <v>65</v>
      </c>
      <c r="N10" s="5" t="s">
        <v>66</v>
      </c>
      <c r="O10" s="4" t="s">
        <v>31</v>
      </c>
      <c r="P10" s="6" t="n">
        <v>1</v>
      </c>
      <c r="Q10" s="6" t="n">
        <v>5</v>
      </c>
      <c r="R10" s="4" t="n">
        <f aca="false">P10*Q10</f>
        <v>5</v>
      </c>
      <c r="S10" s="4" t="str">
        <f aca="false">IF(R10&gt;Method!$B$21,"Critical",IF(R10&gt;Method!$B$20,"High",IF(R10&gt;Method!$B$19,"Medium","Low")))</f>
        <v>Medium</v>
      </c>
    </row>
    <row r="11" customFormat="false" ht="67.5" hidden="false" customHeight="true" outlineLevel="0" collapsed="false">
      <c r="A11" s="4" t="s">
        <v>67</v>
      </c>
      <c r="B11" s="5" t="s">
        <v>68</v>
      </c>
      <c r="C11" s="5" t="s">
        <v>69</v>
      </c>
      <c r="D11" s="5" t="s">
        <v>70</v>
      </c>
      <c r="E11" s="6" t="n">
        <v>2</v>
      </c>
      <c r="F11" s="6" t="n">
        <v>5</v>
      </c>
      <c r="G11" s="4" t="n">
        <f aca="false">E11*F11</f>
        <v>10</v>
      </c>
      <c r="H11" s="4" t="str">
        <f aca="false">IF(G11&gt;Method!$B$21,"Critical",IF(G11&gt;Method!$B$20,"High",IF(G11&gt;Method!$B$19,"Medium","Low")))</f>
        <v>High</v>
      </c>
      <c r="I11" s="4" t="s">
        <v>71</v>
      </c>
      <c r="J11" s="5" t="s">
        <v>72</v>
      </c>
      <c r="K11" s="5" t="s">
        <v>73</v>
      </c>
      <c r="L11" s="4" t="s">
        <v>74</v>
      </c>
      <c r="M11" s="5" t="s">
        <v>75</v>
      </c>
      <c r="N11" s="5" t="s">
        <v>76</v>
      </c>
      <c r="O11" s="4" t="s">
        <v>31</v>
      </c>
      <c r="P11" s="6" t="n">
        <v>1</v>
      </c>
      <c r="Q11" s="6" t="n">
        <v>5</v>
      </c>
      <c r="R11" s="4" t="n">
        <f aca="false">P11*Q11</f>
        <v>5</v>
      </c>
      <c r="S11" s="4" t="str">
        <f aca="false">IF(R11&gt;Method!$B$21,"Critical",IF(R11&gt;Method!$B$20,"High",IF(R11&gt;Method!$B$19,"Medium","Low")))</f>
        <v>Medium</v>
      </c>
    </row>
    <row r="12" customFormat="false" ht="67.5" hidden="false" customHeight="true" outlineLevel="0" collapsed="false">
      <c r="A12" s="4" t="s">
        <v>77</v>
      </c>
      <c r="B12" s="5" t="s">
        <v>78</v>
      </c>
      <c r="C12" s="5" t="s">
        <v>79</v>
      </c>
      <c r="D12" s="5" t="s">
        <v>80</v>
      </c>
      <c r="E12" s="6" t="n">
        <v>2</v>
      </c>
      <c r="F12" s="6" t="n">
        <v>5</v>
      </c>
      <c r="G12" s="4" t="n">
        <f aca="false">E12*F12</f>
        <v>10</v>
      </c>
      <c r="H12" s="4" t="str">
        <f aca="false">IF(G12&gt;Method!$B$21,"Critical",IF(G12&gt;Method!$B$20,"High",IF(G12&gt;Method!$B$19,"Medium","Low")))</f>
        <v>High</v>
      </c>
      <c r="I12" s="4" t="s">
        <v>81</v>
      </c>
      <c r="J12" s="5" t="s">
        <v>82</v>
      </c>
      <c r="K12" s="5" t="s">
        <v>83</v>
      </c>
      <c r="L12" s="4" t="s">
        <v>28</v>
      </c>
      <c r="M12" s="5" t="s">
        <v>84</v>
      </c>
      <c r="N12" s="5" t="s">
        <v>85</v>
      </c>
      <c r="O12" s="4" t="s">
        <v>31</v>
      </c>
      <c r="P12" s="6" t="n">
        <v>1</v>
      </c>
      <c r="Q12" s="6" t="n">
        <v>5</v>
      </c>
      <c r="R12" s="4" t="n">
        <f aca="false">P12*Q12</f>
        <v>5</v>
      </c>
      <c r="S12" s="4" t="str">
        <f aca="false">IF(R12&gt;Method!$B$21,"Critical",IF(R12&gt;Method!$B$20,"High",IF(R12&gt;Method!$B$19,"Medium","Low")))</f>
        <v>Medium</v>
      </c>
    </row>
    <row r="13" customFormat="false" ht="67.5" hidden="false" customHeight="true" outlineLevel="0" collapsed="false">
      <c r="A13" s="4" t="s">
        <v>86</v>
      </c>
      <c r="B13" s="5" t="s">
        <v>87</v>
      </c>
      <c r="C13" s="5" t="s">
        <v>88</v>
      </c>
      <c r="D13" s="5" t="s">
        <v>89</v>
      </c>
      <c r="E13" s="6" t="n">
        <v>2</v>
      </c>
      <c r="F13" s="6" t="n">
        <v>4</v>
      </c>
      <c r="G13" s="4" t="n">
        <f aca="false">E13*F13</f>
        <v>8</v>
      </c>
      <c r="H13" s="4" t="str">
        <f aca="false">IF(G13&gt;Method!$B$21,"Critical",IF(G13&gt;Method!$B$20,"High",IF(G13&gt;Method!$B$19,"Medium","Low")))</f>
        <v>Medium</v>
      </c>
      <c r="I13" s="4" t="s">
        <v>25</v>
      </c>
      <c r="J13" s="5" t="s">
        <v>90</v>
      </c>
      <c r="K13" s="5" t="s">
        <v>91</v>
      </c>
      <c r="L13" s="4" t="s">
        <v>28</v>
      </c>
      <c r="M13" s="5" t="s">
        <v>92</v>
      </c>
      <c r="N13" s="5" t="s">
        <v>93</v>
      </c>
      <c r="O13" s="4" t="s">
        <v>31</v>
      </c>
      <c r="P13" s="6" t="n">
        <v>1</v>
      </c>
      <c r="Q13" s="6" t="n">
        <v>4</v>
      </c>
      <c r="R13" s="4" t="n">
        <f aca="false">P13*Q13</f>
        <v>4</v>
      </c>
      <c r="S13" s="4" t="str">
        <f aca="false">IF(R13&gt;Method!$B$21,"Critical",IF(R13&gt;Method!$B$20,"High",IF(R13&gt;Method!$B$19,"Medium","Low")))</f>
        <v>Low</v>
      </c>
    </row>
    <row r="14" customFormat="false" ht="67.5" hidden="false" customHeight="true" outlineLevel="0" collapsed="false">
      <c r="A14" s="4" t="s">
        <v>94</v>
      </c>
      <c r="B14" s="5" t="s">
        <v>95</v>
      </c>
      <c r="C14" s="5" t="s">
        <v>96</v>
      </c>
      <c r="D14" s="5" t="s">
        <v>97</v>
      </c>
      <c r="E14" s="6" t="n">
        <v>3</v>
      </c>
      <c r="F14" s="6" t="n">
        <v>3</v>
      </c>
      <c r="G14" s="4" t="n">
        <f aca="false">E14*F14</f>
        <v>9</v>
      </c>
      <c r="H14" s="4" t="str">
        <f aca="false">IF(G14&gt;Method!$B$21,"Critical",IF(G14&gt;Method!$B$20,"High",IF(G14&gt;Method!$B$19,"Medium","Low")))</f>
        <v>Medium</v>
      </c>
      <c r="I14" s="4" t="s">
        <v>81</v>
      </c>
      <c r="J14" s="5" t="s">
        <v>98</v>
      </c>
      <c r="K14" s="5" t="s">
        <v>99</v>
      </c>
      <c r="L14" s="4" t="s">
        <v>28</v>
      </c>
      <c r="M14" s="5" t="s">
        <v>100</v>
      </c>
      <c r="N14" s="5" t="s">
        <v>85</v>
      </c>
      <c r="O14" s="4" t="s">
        <v>31</v>
      </c>
      <c r="P14" s="6" t="n">
        <v>2</v>
      </c>
      <c r="Q14" s="6" t="n">
        <v>2</v>
      </c>
      <c r="R14" s="4" t="n">
        <f aca="false">P14*Q14</f>
        <v>4</v>
      </c>
      <c r="S14" s="4" t="str">
        <f aca="false">IF(R14&gt;Method!$B$21,"Critical",IF(R14&gt;Method!$B$20,"High",IF(R14&gt;Method!$B$19,"Medium","Low")))</f>
        <v>Low</v>
      </c>
    </row>
    <row r="15" customFormat="false" ht="67.5" hidden="false" customHeight="true" outlineLevel="0" collapsed="false">
      <c r="A15" s="4" t="s">
        <v>101</v>
      </c>
      <c r="B15" s="5" t="s">
        <v>102</v>
      </c>
      <c r="C15" s="5" t="s">
        <v>103</v>
      </c>
      <c r="D15" s="5" t="s">
        <v>104</v>
      </c>
      <c r="E15" s="6" t="n">
        <v>3</v>
      </c>
      <c r="F15" s="6" t="n">
        <v>3</v>
      </c>
      <c r="G15" s="4" t="n">
        <f aca="false">E15*F15</f>
        <v>9</v>
      </c>
      <c r="H15" s="4" t="str">
        <f aca="false">IF(G15&gt;Method!$B$21,"Critical",IF(G15&gt;Method!$B$20,"High",IF(G15&gt;Method!$B$19,"Medium","Low")))</f>
        <v>Medium</v>
      </c>
      <c r="I15" s="4" t="s">
        <v>25</v>
      </c>
      <c r="J15" s="5" t="s">
        <v>36</v>
      </c>
      <c r="K15" s="5" t="s">
        <v>105</v>
      </c>
      <c r="L15" s="4" t="s">
        <v>28</v>
      </c>
      <c r="M15" s="5" t="s">
        <v>106</v>
      </c>
      <c r="N15" s="5" t="s">
        <v>107</v>
      </c>
      <c r="O15" s="4" t="s">
        <v>31</v>
      </c>
      <c r="P15" s="6" t="n">
        <v>1</v>
      </c>
      <c r="Q15" s="6" t="n">
        <v>3</v>
      </c>
      <c r="R15" s="4" t="n">
        <f aca="false">P15*Q15</f>
        <v>3</v>
      </c>
      <c r="S15" s="4" t="str">
        <f aca="false">IF(R15&gt;Method!$B$21,"Critical",IF(R15&gt;Method!$B$20,"High",IF(R15&gt;Method!$B$19,"Medium","Low")))</f>
        <v>Low</v>
      </c>
    </row>
    <row r="16" customFormat="false" ht="67.5" hidden="false" customHeight="true" outlineLevel="0" collapsed="false">
      <c r="A16" s="4" t="s">
        <v>108</v>
      </c>
      <c r="B16" s="5" t="s">
        <v>109</v>
      </c>
      <c r="C16" s="5" t="s">
        <v>110</v>
      </c>
      <c r="D16" s="5" t="s">
        <v>111</v>
      </c>
      <c r="E16" s="6" t="n">
        <v>2</v>
      </c>
      <c r="F16" s="6" t="n">
        <v>3</v>
      </c>
      <c r="G16" s="4" t="n">
        <f aca="false">E16*F16</f>
        <v>6</v>
      </c>
      <c r="H16" s="4" t="str">
        <f aca="false">IF(G16&gt;Method!$B$21,"Critical",IF(G16&gt;Method!$B$20,"High",IF(G16&gt;Method!$B$19,"Medium","Low")))</f>
        <v>Medium</v>
      </c>
      <c r="I16" s="4" t="s">
        <v>71</v>
      </c>
      <c r="J16" s="5" t="s">
        <v>72</v>
      </c>
      <c r="K16" s="5" t="s">
        <v>112</v>
      </c>
      <c r="L16" s="4" t="s">
        <v>28</v>
      </c>
      <c r="M16" s="5" t="s">
        <v>113</v>
      </c>
      <c r="N16" s="5" t="s">
        <v>114</v>
      </c>
      <c r="O16" s="4" t="s">
        <v>31</v>
      </c>
      <c r="P16" s="6" t="n">
        <v>1</v>
      </c>
      <c r="Q16" s="6" t="n">
        <v>3</v>
      </c>
      <c r="R16" s="4" t="n">
        <f aca="false">P16*Q16</f>
        <v>3</v>
      </c>
      <c r="S16" s="4" t="str">
        <f aca="false">IF(R16&gt;Method!$B$21,"Critical",IF(R16&gt;Method!$B$20,"High",IF(R16&gt;Method!$B$19,"Medium","Low")))</f>
        <v>Low</v>
      </c>
    </row>
    <row r="17" customFormat="false" ht="67.5" hidden="false" customHeight="true" outlineLevel="0" collapsed="false">
      <c r="A17" s="4" t="s">
        <v>115</v>
      </c>
      <c r="B17" s="5" t="s">
        <v>116</v>
      </c>
      <c r="C17" s="5" t="s">
        <v>117</v>
      </c>
      <c r="D17" s="5" t="s">
        <v>118</v>
      </c>
      <c r="E17" s="6" t="n">
        <v>2</v>
      </c>
      <c r="F17" s="6" t="n">
        <v>2</v>
      </c>
      <c r="G17" s="4" t="n">
        <f aca="false">E17*F17</f>
        <v>4</v>
      </c>
      <c r="H17" s="4" t="str">
        <f aca="false">IF(G17&gt;Method!$B$21,"Critical",IF(G17&gt;Method!$B$20,"High",IF(G17&gt;Method!$B$19,"Medium","Low")))</f>
        <v>Low</v>
      </c>
      <c r="I17" s="4" t="s">
        <v>71</v>
      </c>
      <c r="J17" s="5" t="s">
        <v>119</v>
      </c>
      <c r="K17" s="5" t="s">
        <v>120</v>
      </c>
      <c r="L17" s="4" t="s">
        <v>28</v>
      </c>
      <c r="M17" s="5" t="s">
        <v>121</v>
      </c>
      <c r="N17" s="5" t="s">
        <v>122</v>
      </c>
      <c r="O17" s="4" t="s">
        <v>31</v>
      </c>
      <c r="P17" s="6" t="n">
        <v>1</v>
      </c>
      <c r="Q17" s="6" t="n">
        <v>2</v>
      </c>
      <c r="R17" s="4" t="n">
        <f aca="false">P17*Q17</f>
        <v>2</v>
      </c>
      <c r="S17" s="4" t="str">
        <f aca="false">IF(R17&gt;Method!$B$21,"Critical",IF(R17&gt;Method!$B$20,"High",IF(R17&gt;Method!$B$19,"Medium","Low")))</f>
        <v>Low</v>
      </c>
    </row>
    <row r="18" customFormat="false" ht="67.5" hidden="false" customHeight="true" outlineLevel="0" collapsed="false">
      <c r="A18" s="4" t="s">
        <v>123</v>
      </c>
      <c r="B18" s="5" t="s">
        <v>124</v>
      </c>
      <c r="C18" s="5" t="s">
        <v>125</v>
      </c>
      <c r="D18" s="5" t="s">
        <v>126</v>
      </c>
      <c r="E18" s="6" t="n">
        <v>4</v>
      </c>
      <c r="F18" s="6" t="n">
        <v>2</v>
      </c>
      <c r="G18" s="4" t="n">
        <f aca="false">E18*F18</f>
        <v>8</v>
      </c>
      <c r="H18" s="4" t="str">
        <f aca="false">IF(G18&gt;Method!$B$21,"Critical",IF(G18&gt;Method!$B$20,"High",IF(G18&gt;Method!$B$19,"Medium","Low")))</f>
        <v>Medium</v>
      </c>
      <c r="I18" s="4" t="s">
        <v>127</v>
      </c>
      <c r="J18" s="5" t="s">
        <v>128</v>
      </c>
      <c r="K18" s="5" t="s">
        <v>129</v>
      </c>
      <c r="L18" s="4" t="s">
        <v>130</v>
      </c>
      <c r="M18" s="5" t="s">
        <v>131</v>
      </c>
      <c r="N18" s="5" t="s">
        <v>132</v>
      </c>
      <c r="O18" s="4" t="s">
        <v>31</v>
      </c>
      <c r="P18" s="6" t="n">
        <v>4</v>
      </c>
      <c r="Q18" s="6" t="n">
        <v>2</v>
      </c>
      <c r="R18" s="4" t="n">
        <f aca="false">P18*Q18</f>
        <v>8</v>
      </c>
      <c r="S18" s="4" t="str">
        <f aca="false">IF(R18&gt;Method!$B$21,"Critical",IF(R18&gt;Method!$B$20,"High",IF(R18&gt;Method!$B$19,"Medium","Low")))</f>
        <v>Medium</v>
      </c>
    </row>
    <row r="20" customFormat="false" ht="15" hidden="false" customHeight="false" outlineLevel="0" collapsed="false">
      <c r="B20" s="7" t="s">
        <v>133</v>
      </c>
      <c r="C20" s="7" t="s">
        <v>134</v>
      </c>
      <c r="E20" s="7" t="s">
        <v>135</v>
      </c>
      <c r="F20" s="7" t="s">
        <v>136</v>
      </c>
    </row>
    <row r="21" customFormat="false" ht="15" hidden="false" customHeight="false" outlineLevel="0" collapsed="false">
      <c r="C21" s="8" t="s">
        <v>137</v>
      </c>
      <c r="E21" s="8" t="n">
        <f aca="false">COUNTIF($H$5:$H$18,C21)</f>
        <v>1</v>
      </c>
      <c r="F21" s="8" t="n">
        <f aca="false">COUNTIF($S$5:$S$18,C21)</f>
        <v>0</v>
      </c>
    </row>
    <row r="22" customFormat="false" ht="15" hidden="false" customHeight="false" outlineLevel="0" collapsed="false">
      <c r="C22" s="8" t="s">
        <v>138</v>
      </c>
      <c r="E22" s="8" t="n">
        <f aca="false">COUNTIF($H$5:$H$18,C22)</f>
        <v>7</v>
      </c>
      <c r="F22" s="8" t="n">
        <f aca="false">COUNTIF($S$5:$S$18,C22)</f>
        <v>0</v>
      </c>
    </row>
    <row r="23" customFormat="false" ht="15" hidden="false" customHeight="false" outlineLevel="0" collapsed="false">
      <c r="C23" s="8" t="s">
        <v>139</v>
      </c>
      <c r="E23" s="8" t="n">
        <f aca="false">COUNTIF($H$5:$H$18,C23)</f>
        <v>5</v>
      </c>
      <c r="F23" s="8" t="n">
        <f aca="false">COUNTIF($S$5:$S$18,C23)</f>
        <v>6</v>
      </c>
    </row>
    <row r="24" customFormat="false" ht="15" hidden="false" customHeight="false" outlineLevel="0" collapsed="false">
      <c r="C24" s="8" t="s">
        <v>140</v>
      </c>
      <c r="E24" s="8" t="n">
        <f aca="false">COUNTIF($H$5:$H$18,C24)</f>
        <v>1</v>
      </c>
      <c r="F24" s="8" t="n">
        <f aca="false">COUNTIF($S$5:$S$18,C24)</f>
        <v>8</v>
      </c>
    </row>
    <row r="25" customFormat="false" ht="15" hidden="false" customHeight="false" outlineLevel="0" collapsed="false">
      <c r="C25" s="7" t="s">
        <v>141</v>
      </c>
      <c r="E25" s="7" t="n">
        <f aca="false">SUM(E21:E24)</f>
        <v>14</v>
      </c>
      <c r="F25" s="7" t="n">
        <f aca="false">SUM(F21:F24)</f>
        <v>14</v>
      </c>
    </row>
    <row r="27" customFormat="false" ht="15" hidden="false" customHeight="false" outlineLevel="0" collapsed="false">
      <c r="C27" s="7" t="s">
        <v>142</v>
      </c>
    </row>
    <row r="28" customFormat="false" ht="15" hidden="false" customHeight="false" outlineLevel="0" collapsed="false">
      <c r="C28" s="8" t="s">
        <v>28</v>
      </c>
      <c r="E28" s="8" t="n">
        <f aca="false">COUNTIF($L$5:$L$18,C28)</f>
        <v>12</v>
      </c>
    </row>
    <row r="29" customFormat="false" ht="15" hidden="false" customHeight="false" outlineLevel="0" collapsed="false">
      <c r="C29" s="8" t="s">
        <v>130</v>
      </c>
      <c r="E29" s="8" t="n">
        <f aca="false">COUNTIF($L$5:$L$18,C29)</f>
        <v>1</v>
      </c>
    </row>
    <row r="30" customFormat="false" ht="15" hidden="false" customHeight="false" outlineLevel="0" collapsed="false">
      <c r="C30" s="8" t="s">
        <v>74</v>
      </c>
      <c r="E30" s="8" t="n">
        <f aca="false">COUNTIF($L$5:$L$18,C30)</f>
        <v>1</v>
      </c>
    </row>
    <row r="31" customFormat="false" ht="15" hidden="false" customHeight="false" outlineLevel="0" collapsed="false">
      <c r="C31" s="8" t="s">
        <v>143</v>
      </c>
      <c r="E31" s="8" t="n">
        <f aca="false">COUNTIF($L$5:$L$18,C31)</f>
        <v>0</v>
      </c>
    </row>
  </sheetData>
  <conditionalFormatting sqref="H5:H18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  <cfRule type="cellIs" priority="5" operator="equal" aboveAverage="0" equalAverage="0" bottom="0" percent="0" rank="0" text="" dxfId="3">
      <formula>"Critical"</formula>
    </cfRule>
  </conditionalFormatting>
  <conditionalFormatting sqref="S5:S18">
    <cfRule type="cellIs" priority="6" operator="equal" aboveAverage="0" equalAverage="0" bottom="0" percent="0" rank="0" text="" dxfId="0">
      <formula>"Low"</formula>
    </cfRule>
    <cfRule type="cellIs" priority="7" operator="equal" aboveAverage="0" equalAverage="0" bottom="0" percent="0" rank="0" text="" dxfId="1">
      <formula>"Medium"</formula>
    </cfRule>
    <cfRule type="cellIs" priority="8" operator="equal" aboveAverage="0" equalAverage="0" bottom="0" percent="0" rank="0" text="" dxfId="2">
      <formula>"High"</formula>
    </cfRule>
    <cfRule type="cellIs" priority="9" operator="equal" aboveAverage="0" equalAverage="0" bottom="0" percent="0" rank="0" text="" dxfId="3">
      <formula>"Critical"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144</v>
      </c>
    </row>
    <row r="3" customFormat="false" ht="15" hidden="false" customHeight="false" outlineLevel="0" collapsed="false">
      <c r="A3" s="7" t="s">
        <v>145</v>
      </c>
    </row>
    <row r="4" customFormat="false" ht="15" hidden="false" customHeight="false" outlineLevel="0" collapsed="false">
      <c r="A4" s="8" t="n">
        <v>1</v>
      </c>
      <c r="B4" s="8" t="s">
        <v>146</v>
      </c>
      <c r="C4" s="8" t="s">
        <v>147</v>
      </c>
    </row>
    <row r="5" customFormat="false" ht="15" hidden="false" customHeight="false" outlineLevel="0" collapsed="false">
      <c r="A5" s="8" t="n">
        <v>2</v>
      </c>
      <c r="B5" s="8" t="s">
        <v>148</v>
      </c>
      <c r="C5" s="8" t="s">
        <v>149</v>
      </c>
    </row>
    <row r="6" customFormat="false" ht="15" hidden="false" customHeight="false" outlineLevel="0" collapsed="false">
      <c r="A6" s="8" t="n">
        <v>3</v>
      </c>
      <c r="B6" s="8" t="s">
        <v>150</v>
      </c>
      <c r="C6" s="8" t="s">
        <v>151</v>
      </c>
    </row>
    <row r="7" customFormat="false" ht="15" hidden="false" customHeight="false" outlineLevel="0" collapsed="false">
      <c r="A7" s="8" t="n">
        <v>4</v>
      </c>
      <c r="B7" s="8" t="s">
        <v>152</v>
      </c>
      <c r="C7" s="8" t="s">
        <v>153</v>
      </c>
    </row>
    <row r="8" customFormat="false" ht="15" hidden="false" customHeight="false" outlineLevel="0" collapsed="false">
      <c r="A8" s="8" t="n">
        <v>5</v>
      </c>
      <c r="B8" s="8" t="s">
        <v>154</v>
      </c>
      <c r="C8" s="8" t="s">
        <v>155</v>
      </c>
    </row>
    <row r="10" customFormat="false" ht="15" hidden="false" customHeight="false" outlineLevel="0" collapsed="false">
      <c r="A10" s="7" t="s">
        <v>156</v>
      </c>
    </row>
    <row r="11" customFormat="false" ht="15" hidden="false" customHeight="false" outlineLevel="0" collapsed="false">
      <c r="A11" s="8" t="n">
        <v>1</v>
      </c>
      <c r="B11" s="8" t="s">
        <v>157</v>
      </c>
      <c r="C11" s="8" t="s">
        <v>158</v>
      </c>
    </row>
    <row r="12" customFormat="false" ht="15" hidden="false" customHeight="false" outlineLevel="0" collapsed="false">
      <c r="A12" s="8" t="n">
        <v>2</v>
      </c>
      <c r="B12" s="8" t="s">
        <v>159</v>
      </c>
      <c r="C12" s="8" t="s">
        <v>160</v>
      </c>
    </row>
    <row r="13" customFormat="false" ht="15" hidden="false" customHeight="false" outlineLevel="0" collapsed="false">
      <c r="A13" s="8" t="n">
        <v>3</v>
      </c>
      <c r="B13" s="8" t="s">
        <v>161</v>
      </c>
      <c r="C13" s="8" t="s">
        <v>162</v>
      </c>
    </row>
    <row r="14" customFormat="false" ht="15" hidden="false" customHeight="false" outlineLevel="0" collapsed="false">
      <c r="A14" s="8" t="n">
        <v>4</v>
      </c>
      <c r="B14" s="8" t="s">
        <v>163</v>
      </c>
      <c r="C14" s="8" t="s">
        <v>164</v>
      </c>
    </row>
    <row r="15" customFormat="false" ht="15" hidden="false" customHeight="false" outlineLevel="0" collapsed="false">
      <c r="A15" s="8" t="n">
        <v>5</v>
      </c>
      <c r="B15" s="8" t="s">
        <v>165</v>
      </c>
      <c r="C15" s="8" t="s">
        <v>166</v>
      </c>
    </row>
    <row r="17" customFormat="false" ht="15" hidden="false" customHeight="false" outlineLevel="0" collapsed="false">
      <c r="A17" s="7" t="s">
        <v>167</v>
      </c>
    </row>
    <row r="18" customFormat="false" ht="15" hidden="false" customHeight="false" outlineLevel="0" collapsed="false">
      <c r="A18" s="7" t="s">
        <v>168</v>
      </c>
      <c r="B18" s="7" t="s">
        <v>169</v>
      </c>
    </row>
    <row r="19" customFormat="false" ht="15" hidden="false" customHeight="false" outlineLevel="0" collapsed="false">
      <c r="A19" s="9" t="s">
        <v>140</v>
      </c>
      <c r="B19" s="10" t="n">
        <v>4</v>
      </c>
    </row>
    <row r="20" customFormat="false" ht="15" hidden="false" customHeight="false" outlineLevel="0" collapsed="false">
      <c r="A20" s="11" t="s">
        <v>139</v>
      </c>
      <c r="B20" s="10" t="n">
        <v>9</v>
      </c>
    </row>
    <row r="21" customFormat="false" ht="15" hidden="false" customHeight="false" outlineLevel="0" collapsed="false">
      <c r="A21" s="12" t="s">
        <v>138</v>
      </c>
      <c r="B21" s="10" t="n">
        <v>14</v>
      </c>
    </row>
    <row r="22" customFormat="false" ht="15" hidden="false" customHeight="false" outlineLevel="0" collapsed="false">
      <c r="A22" s="13" t="s">
        <v>137</v>
      </c>
      <c r="B22" s="10" t="n">
        <v>25</v>
      </c>
    </row>
    <row r="24" customFormat="false" ht="15" hidden="false" customHeight="false" outlineLevel="0" collapsed="false">
      <c r="A24" s="14" t="s">
        <v>170</v>
      </c>
    </row>
    <row r="25" customFormat="false" ht="15" hidden="false" customHeight="false" outlineLevel="0" collapsed="false">
      <c r="A25" s="8" t="s">
        <v>171</v>
      </c>
    </row>
    <row r="26" customFormat="false" ht="15" hidden="false" customHeight="false" outlineLevel="0" collapsed="false">
      <c r="A26" s="8" t="s">
        <v>172</v>
      </c>
    </row>
    <row r="27" customFormat="false" ht="15" hidden="false" customHeight="false" outlineLevel="0" collapsed="false">
      <c r="A27" s="8" t="s">
        <v>173</v>
      </c>
    </row>
    <row r="28" customFormat="false" ht="15" hidden="false" customHeight="false" outlineLevel="0" collapsed="false">
      <c r="A28" s="8" t="s">
        <v>174</v>
      </c>
    </row>
    <row r="29" customFormat="false" ht="15" hidden="false" customHeight="false" outlineLevel="0" collapsed="false">
      <c r="A29" s="8" t="s">
        <v>175</v>
      </c>
    </row>
    <row r="30" customFormat="false" ht="15" hidden="false" customHeight="false" outlineLevel="0" collapsed="false">
      <c r="A30" s="8" t="s">
        <v>176</v>
      </c>
    </row>
    <row r="31" customFormat="false" ht="15" hidden="false" customHeight="false" outlineLevel="0" collapsed="false">
      <c r="A31" s="8" t="s">
        <v>177</v>
      </c>
    </row>
    <row r="32" customFormat="false" ht="15" hidden="false" customHeight="false" outlineLevel="0" collapsed="false">
      <c r="A32" s="8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0"/>
  </cols>
  <sheetData>
    <row r="1" customFormat="false" ht="17.35" hidden="false" customHeight="false" outlineLevel="0" collapsed="false">
      <c r="A1" s="1" t="s">
        <v>179</v>
      </c>
    </row>
    <row r="3" customFormat="false" ht="15" hidden="false" customHeight="false" outlineLevel="0" collapsed="false">
      <c r="A3" s="7" t="s">
        <v>180</v>
      </c>
      <c r="I3" s="7" t="s">
        <v>181</v>
      </c>
    </row>
    <row r="4" customFormat="false" ht="15" hidden="false" customHeight="false" outlineLevel="0" collapsed="false">
      <c r="A4" s="2" t="s">
        <v>182</v>
      </c>
      <c r="I4" s="2" t="s">
        <v>182</v>
      </c>
    </row>
    <row r="5" customFormat="false" ht="30" hidden="false" customHeight="true" outlineLevel="0" collapsed="false">
      <c r="A5" s="15" t="n">
        <v>5</v>
      </c>
      <c r="B5" s="16" t="n">
        <f aca="false">COUNTIFS(Register!$E$5:$E$18,1,Register!$F$5:$F$18,5)</f>
        <v>0</v>
      </c>
      <c r="C5" s="17" t="n">
        <f aca="false">COUNTIFS(Register!$E$5:$E$18,2,Register!$F$5:$F$18,5)</f>
        <v>3</v>
      </c>
      <c r="D5" s="18" t="n">
        <f aca="false">COUNTIFS(Register!$E$5:$E$18,3,Register!$F$5:$F$18,5)</f>
        <v>1</v>
      </c>
      <c r="E5" s="18" t="n">
        <f aca="false">COUNTIFS(Register!$E$5:$E$18,4,Register!$F$5:$F$18,5)</f>
        <v>0</v>
      </c>
      <c r="F5" s="18" t="n">
        <f aca="false">COUNTIFS(Register!$E$5:$E$18,5,Register!$F$5:$F$18,5)</f>
        <v>0</v>
      </c>
      <c r="I5" s="15" t="n">
        <v>5</v>
      </c>
      <c r="J5" s="16" t="n">
        <f aca="false">COUNTIFS(Register!$P$5:$P$18,1,Register!$Q$5:$Q$18,5)</f>
        <v>4</v>
      </c>
      <c r="K5" s="17" t="n">
        <f aca="false">COUNTIFS(Register!$P$5:$P$18,2,Register!$Q$5:$Q$18,5)</f>
        <v>0</v>
      </c>
      <c r="L5" s="18" t="n">
        <f aca="false">COUNTIFS(Register!$P$5:$P$18,3,Register!$Q$5:$Q$18,5)</f>
        <v>0</v>
      </c>
      <c r="M5" s="18" t="n">
        <f aca="false">COUNTIFS(Register!$P$5:$P$18,4,Register!$Q$5:$Q$18,5)</f>
        <v>0</v>
      </c>
      <c r="N5" s="18" t="n">
        <f aca="false">COUNTIFS(Register!$P$5:$P$18,5,Register!$Q$5:$Q$18,5)</f>
        <v>0</v>
      </c>
    </row>
    <row r="6" customFormat="false" ht="30" hidden="false" customHeight="true" outlineLevel="0" collapsed="false">
      <c r="A6" s="15" t="n">
        <v>4</v>
      </c>
      <c r="B6" s="19" t="n">
        <f aca="false">COUNTIFS(Register!$E$5:$E$18,1,Register!$F$5:$F$18,4)</f>
        <v>0</v>
      </c>
      <c r="C6" s="16" t="n">
        <f aca="false">COUNTIFS(Register!$E$5:$E$18,2,Register!$F$5:$F$18,4)</f>
        <v>1</v>
      </c>
      <c r="D6" s="17" t="n">
        <f aca="false">COUNTIFS(Register!$E$5:$E$18,3,Register!$F$5:$F$18,4)</f>
        <v>4</v>
      </c>
      <c r="E6" s="18" t="n">
        <f aca="false">COUNTIFS(Register!$E$5:$E$18,4,Register!$F$5:$F$18,4)</f>
        <v>0</v>
      </c>
      <c r="F6" s="18" t="n">
        <f aca="false">COUNTIFS(Register!$E$5:$E$18,5,Register!$F$5:$F$18,4)</f>
        <v>0</v>
      </c>
      <c r="I6" s="15" t="n">
        <v>4</v>
      </c>
      <c r="J6" s="19" t="n">
        <f aca="false">COUNTIFS(Register!$P$5:$P$18,1,Register!$Q$5:$Q$18,4)</f>
        <v>4</v>
      </c>
      <c r="K6" s="16" t="n">
        <f aca="false">COUNTIFS(Register!$P$5:$P$18,2,Register!$Q$5:$Q$18,4)</f>
        <v>0</v>
      </c>
      <c r="L6" s="17" t="n">
        <f aca="false">COUNTIFS(Register!$P$5:$P$18,3,Register!$Q$5:$Q$18,4)</f>
        <v>0</v>
      </c>
      <c r="M6" s="18" t="n">
        <f aca="false">COUNTIFS(Register!$P$5:$P$18,4,Register!$Q$5:$Q$18,4)</f>
        <v>0</v>
      </c>
      <c r="N6" s="18" t="n">
        <f aca="false">COUNTIFS(Register!$P$5:$P$18,5,Register!$Q$5:$Q$18,4)</f>
        <v>0</v>
      </c>
    </row>
    <row r="7" customFormat="false" ht="30" hidden="false" customHeight="true" outlineLevel="0" collapsed="false">
      <c r="A7" s="15" t="n">
        <v>3</v>
      </c>
      <c r="B7" s="19" t="n">
        <f aca="false">COUNTIFS(Register!$E$5:$E$18,1,Register!$F$5:$F$18,3)</f>
        <v>0</v>
      </c>
      <c r="C7" s="16" t="n">
        <f aca="false">COUNTIFS(Register!$E$5:$E$18,2,Register!$F$5:$F$18,3)</f>
        <v>1</v>
      </c>
      <c r="D7" s="16" t="n">
        <f aca="false">COUNTIFS(Register!$E$5:$E$18,3,Register!$F$5:$F$18,3)</f>
        <v>2</v>
      </c>
      <c r="E7" s="17" t="n">
        <f aca="false">COUNTIFS(Register!$E$5:$E$18,4,Register!$F$5:$F$18,3)</f>
        <v>0</v>
      </c>
      <c r="F7" s="18" t="n">
        <f aca="false">COUNTIFS(Register!$E$5:$E$18,5,Register!$F$5:$F$18,3)</f>
        <v>0</v>
      </c>
      <c r="I7" s="15" t="n">
        <v>3</v>
      </c>
      <c r="J7" s="19" t="n">
        <f aca="false">COUNTIFS(Register!$P$5:$P$18,1,Register!$Q$5:$Q$18,3)</f>
        <v>2</v>
      </c>
      <c r="K7" s="16" t="n">
        <f aca="false">COUNTIFS(Register!$P$5:$P$18,2,Register!$Q$5:$Q$18,3)</f>
        <v>1</v>
      </c>
      <c r="L7" s="16" t="n">
        <f aca="false">COUNTIFS(Register!$P$5:$P$18,3,Register!$Q$5:$Q$18,3)</f>
        <v>0</v>
      </c>
      <c r="M7" s="17" t="n">
        <f aca="false">COUNTIFS(Register!$P$5:$P$18,4,Register!$Q$5:$Q$18,3)</f>
        <v>0</v>
      </c>
      <c r="N7" s="18" t="n">
        <f aca="false">COUNTIFS(Register!$P$5:$P$18,5,Register!$Q$5:$Q$18,3)</f>
        <v>0</v>
      </c>
    </row>
    <row r="8" customFormat="false" ht="30" hidden="false" customHeight="true" outlineLevel="0" collapsed="false">
      <c r="A8" s="15" t="n">
        <v>2</v>
      </c>
      <c r="B8" s="19" t="n">
        <f aca="false">COUNTIFS(Register!$E$5:$E$18,1,Register!$F$5:$F$18,2)</f>
        <v>0</v>
      </c>
      <c r="C8" s="19" t="n">
        <f aca="false">COUNTIFS(Register!$E$5:$E$18,2,Register!$F$5:$F$18,2)</f>
        <v>1</v>
      </c>
      <c r="D8" s="16" t="n">
        <f aca="false">COUNTIFS(Register!$E$5:$E$18,3,Register!$F$5:$F$18,2)</f>
        <v>0</v>
      </c>
      <c r="E8" s="16" t="n">
        <f aca="false">COUNTIFS(Register!$E$5:$E$18,4,Register!$F$5:$F$18,2)</f>
        <v>1</v>
      </c>
      <c r="F8" s="17" t="n">
        <f aca="false">COUNTIFS(Register!$E$5:$E$18,5,Register!$F$5:$F$18,2)</f>
        <v>0</v>
      </c>
      <c r="I8" s="15" t="n">
        <v>2</v>
      </c>
      <c r="J8" s="19" t="n">
        <f aca="false">COUNTIFS(Register!$P$5:$P$18,1,Register!$Q$5:$Q$18,2)</f>
        <v>1</v>
      </c>
      <c r="K8" s="19" t="n">
        <f aca="false">COUNTIFS(Register!$P$5:$P$18,2,Register!$Q$5:$Q$18,2)</f>
        <v>1</v>
      </c>
      <c r="L8" s="16" t="n">
        <f aca="false">COUNTIFS(Register!$P$5:$P$18,3,Register!$Q$5:$Q$18,2)</f>
        <v>0</v>
      </c>
      <c r="M8" s="16" t="n">
        <f aca="false">COUNTIFS(Register!$P$5:$P$18,4,Register!$Q$5:$Q$18,2)</f>
        <v>1</v>
      </c>
      <c r="N8" s="17" t="n">
        <f aca="false">COUNTIFS(Register!$P$5:$P$18,5,Register!$Q$5:$Q$18,2)</f>
        <v>0</v>
      </c>
    </row>
    <row r="9" customFormat="false" ht="30" hidden="false" customHeight="true" outlineLevel="0" collapsed="false">
      <c r="A9" s="15" t="n">
        <v>1</v>
      </c>
      <c r="B9" s="19" t="n">
        <f aca="false">COUNTIFS(Register!$E$5:$E$18,1,Register!$F$5:$F$18,1)</f>
        <v>0</v>
      </c>
      <c r="C9" s="19" t="n">
        <f aca="false">COUNTIFS(Register!$E$5:$E$18,2,Register!$F$5:$F$18,1)</f>
        <v>0</v>
      </c>
      <c r="D9" s="19" t="n">
        <f aca="false">COUNTIFS(Register!$E$5:$E$18,3,Register!$F$5:$F$18,1)</f>
        <v>0</v>
      </c>
      <c r="E9" s="19" t="n">
        <f aca="false">COUNTIFS(Register!$E$5:$E$18,4,Register!$F$5:$F$18,1)</f>
        <v>0</v>
      </c>
      <c r="F9" s="16" t="n">
        <f aca="false">COUNTIFS(Register!$E$5:$E$18,5,Register!$F$5:$F$18,1)</f>
        <v>0</v>
      </c>
      <c r="I9" s="15" t="n">
        <v>1</v>
      </c>
      <c r="J9" s="19" t="n">
        <f aca="false">COUNTIFS(Register!$P$5:$P$18,1,Register!$Q$5:$Q$18,1)</f>
        <v>0</v>
      </c>
      <c r="K9" s="19" t="n">
        <f aca="false">COUNTIFS(Register!$P$5:$P$18,2,Register!$Q$5:$Q$18,1)</f>
        <v>0</v>
      </c>
      <c r="L9" s="19" t="n">
        <f aca="false">COUNTIFS(Register!$P$5:$P$18,3,Register!$Q$5:$Q$18,1)</f>
        <v>0</v>
      </c>
      <c r="M9" s="19" t="n">
        <f aca="false">COUNTIFS(Register!$P$5:$P$18,4,Register!$Q$5:$Q$18,1)</f>
        <v>0</v>
      </c>
      <c r="N9" s="16" t="n">
        <f aca="false">COUNTIFS(Register!$P$5:$P$18,5,Register!$Q$5:$Q$18,1)</f>
        <v>0</v>
      </c>
    </row>
    <row r="10" customFormat="false" ht="15" hidden="false" customHeight="false" outlineLevel="0" collapsed="false">
      <c r="B10" s="20" t="n">
        <v>1</v>
      </c>
      <c r="C10" s="20" t="n">
        <v>2</v>
      </c>
      <c r="D10" s="20" t="n">
        <v>3</v>
      </c>
      <c r="E10" s="20" t="n">
        <v>4</v>
      </c>
      <c r="F10" s="20" t="n">
        <v>5</v>
      </c>
      <c r="J10" s="20" t="n">
        <v>1</v>
      </c>
      <c r="K10" s="20" t="n">
        <v>2</v>
      </c>
      <c r="L10" s="20" t="n">
        <v>3</v>
      </c>
      <c r="M10" s="20" t="n">
        <v>4</v>
      </c>
      <c r="N10" s="20" t="n">
        <v>5</v>
      </c>
    </row>
    <row r="11" customFormat="false" ht="15" hidden="false" customHeight="false" outlineLevel="0" collapsed="false">
      <c r="B11" s="2" t="s">
        <v>183</v>
      </c>
      <c r="J11" s="2" t="s">
        <v>183</v>
      </c>
    </row>
    <row r="14" customFormat="false" ht="15" hidden="false" customHeight="false" outlineLevel="0" collapsed="false">
      <c r="A14" s="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2026-10-13T17:49:31Z</dcterms:created>
  <dc:creator>openpyxl</dc:creator>
  <dc:description/>
  <dc:language>en-US</dc:language>
  <cp:lastModifiedBy/>
  <dcterms:modified xsi:type="dcterms:W3CDTF">2026-10-13T17:49:31Z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